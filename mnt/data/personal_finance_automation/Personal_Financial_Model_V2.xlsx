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Bills" sheetId="5" state="visible" r:id="rId5"/>
    <sheet xmlns:r="http://schemas.openxmlformats.org/officeDocument/2006/relationships" name="Debt" sheetId="6" state="visible" r:id="rId6"/>
    <sheet xmlns:r="http://schemas.openxmlformats.org/officeDocument/2006/relationships" name="Investments" sheetId="7" state="visible" r:id="rId7"/>
    <sheet xmlns:r="http://schemas.openxmlformats.org/officeDocument/2006/relationships" name="Goals" sheetId="8" state="visible" r:id="rId8"/>
    <sheet xmlns:r="http://schemas.openxmlformats.org/officeDocument/2006/relationships" name="Setup" sheetId="9" state="visible" r:id="rId9"/>
    <sheet xmlns:r="http://schemas.openxmlformats.org/officeDocument/2006/relationships" name="Raw Import" sheetId="10" state="visible" r:id="rId10"/>
    <sheet xmlns:r="http://schemas.openxmlformats.org/officeDocument/2006/relationships" name="Field Mapping" sheetId="11" state="visible" r:id="rId11"/>
    <sheet xmlns:r="http://schemas.openxmlformats.org/officeDocument/2006/relationships" name="Category Rules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Settings" sheetId="15" state="visible" r:id="rId15"/>
  </sheets>
  <definedNames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mm/dd/yyyy"/>
    <numFmt numFmtId="167" formatCode="MM/DD/YYYY"/>
    <numFmt numFmtId="168" formatCode="$#,##0.00;[Red]($#,##0.00);-"/>
    <numFmt numFmtId="169" formatCode="MM/DD/YYYY HH:MM"/>
    <numFmt numFmtId="170" formatCode="0.0%;[Red](0.0%);-"/>
  </numFmts>
  <fonts count="10">
    <font>
      <name val="Calibri"/>
      <color theme="1"/>
      <sz val="11"/>
    </font>
    <font>
      <b val="1"/>
      <color rgb="FFFFFFFF"/>
      <sz val="18"/>
    </font>
    <font>
      <b val="1"/>
    </font>
    <font>
      <b val="1"/>
      <color rgb="FFFFFFFF"/>
    </font>
    <font>
      <name val="Calibri"/>
      <b val="1"/>
      <color rgb="FFFFFFFF"/>
      <sz val="18"/>
    </font>
    <font>
      <name val="Calibri"/>
      <b val="1"/>
      <color rgb="FFFFFFFF"/>
      <sz val="11"/>
    </font>
    <font>
      <name val="Calibri"/>
      <b val="1"/>
      <color rgb="FFC00000"/>
      <sz val="11"/>
    </font>
    <font>
      <name val="Calibri"/>
      <b val="1"/>
      <color theme="1"/>
      <sz val="11"/>
    </font>
    <font>
      <name val="Calibri"/>
      <color rgb="FF0000FF"/>
      <sz val="11"/>
    </font>
    <font>
      <name val="Calibri"/>
      <i val="1"/>
      <color rgb="FF666666"/>
      <sz val="11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7E6E6"/>
      </patternFill>
    </fill>
  </fills>
  <borders count="3">
    <border/>
    <border>
      <bottom style="thin">
        <color rgb="FFD9E1F2"/>
      </bottom>
    </border>
    <border/>
  </borders>
  <cellStyleXfs count="1">
    <xf numFmtId="0" fontId="0" fillId="0" borderId="2"/>
  </cellStyleXfs>
  <cellXfs count="1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10" fontId="0" fillId="0" borderId="0" pivotButton="0" quotePrefix="0" xfId="0"/>
    <xf numFmtId="0" fontId="0" fillId="0" borderId="2" pivotButton="0" quotePrefix="0" xfId="0"/>
    <xf numFmtId="0" fontId="1" fillId="2" borderId="2" applyAlignment="1" pivotButton="0" quotePrefix="0" xfId="0">
      <alignment vertical="center"/>
    </xf>
    <xf numFmtId="0" fontId="2" fillId="0" borderId="2" pivotButton="0" quotePrefix="0" xfId="0"/>
    <xf numFmtId="0" fontId="3" fillId="3" borderId="2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0" fontId="3" fillId="2" borderId="2" pivotButton="0" quotePrefix="0" xfId="0"/>
    <xf numFmtId="10" fontId="0" fillId="0" borderId="2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2" pivotButton="0" quotePrefix="0" xfId="0"/>
    <xf numFmtId="0" fontId="4" fillId="4" borderId="2" pivotButton="0" quotePrefix="0" xfId="0"/>
    <xf numFmtId="0" fontId="4" fillId="4" borderId="2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4" borderId="2" pivotButton="0" quotePrefix="0" xfId="0"/>
    <xf numFmtId="0" fontId="5" fillId="4" borderId="2" applyAlignment="1" pivotButton="0" quotePrefix="0" xfId="0">
      <alignment wrapText="1"/>
    </xf>
    <xf numFmtId="0" fontId="5" fillId="4" borderId="2" applyAlignment="1" pivotButton="0" quotePrefix="0" xfId="0">
      <alignment horizontal="center" wrapText="1"/>
    </xf>
    <xf numFmtId="0" fontId="5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167" fontId="0" fillId="0" borderId="0" pivotButton="0" quotePrefix="0" xfId="0"/>
    <xf numFmtId="167" fontId="0" fillId="0" borderId="2" pivotButton="0" quotePrefix="0" xfId="0"/>
    <xf numFmtId="168" fontId="0" fillId="0" borderId="0" pivotButton="0" quotePrefix="0" xfId="0"/>
    <xf numFmtId="168" fontId="0" fillId="0" borderId="2" pivotButton="0" quotePrefix="0" xfId="0"/>
    <xf numFmtId="169" fontId="0" fillId="0" borderId="0" pivotButton="0" quotePrefix="0" xfId="0"/>
    <xf numFmtId="169" fontId="0" fillId="0" borderId="2" pivotButton="0" quotePrefix="0" xfId="0"/>
    <xf numFmtId="0" fontId="1" fillId="4" borderId="0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4" borderId="2" applyAlignment="1" pivotButton="0" quotePrefix="0" xfId="0">
      <alignment wrapText="1"/>
    </xf>
    <xf numFmtId="0" fontId="3" fillId="4" borderId="2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170" fontId="0" fillId="0" borderId="0" pivotButton="0" quotePrefix="0" xfId="0"/>
    <xf numFmtId="170" fontId="0" fillId="0" borderId="2" pivotButton="0" quotePrefix="0" xfId="0"/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0" fillId="5" borderId="2" pivotButton="0" quotePrefix="0" xfId="0"/>
    <xf numFmtId="0" fontId="6" fillId="5" borderId="2" pivotButton="0" quotePrefix="0" xfId="0"/>
    <xf numFmtId="0" fontId="6" fillId="5" borderId="2" applyAlignment="1" pivotButton="0" quotePrefix="0" xfId="0">
      <alignment wrapText="1"/>
    </xf>
    <xf numFmtId="0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0" fontId="5" fillId="6" borderId="0" pivotButton="0" quotePrefix="0" xfId="0"/>
    <xf numFmtId="164" fontId="5" fillId="6" borderId="0" pivotButton="0" quotePrefix="0" xfId="0"/>
    <xf numFmtId="165" fontId="5" fillId="6" borderId="0" pivotButton="0" quotePrefix="0" xfId="0"/>
    <xf numFmtId="0" fontId="0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5" fillId="6" borderId="2" pivotButton="0" quotePrefix="0" xfId="0"/>
    <xf numFmtId="164" fontId="5" fillId="6" borderId="2" pivotButton="0" quotePrefix="0" xfId="0"/>
    <xf numFmtId="165" fontId="5" fillId="6" borderId="2" pivotButton="0" quotePrefix="0" xfId="0"/>
    <xf numFmtId="0" fontId="7" fillId="0" borderId="0" pivotButton="0" quotePrefix="0" xfId="0"/>
    <xf numFmtId="0" fontId="7" fillId="0" borderId="2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/>
    </xf>
    <xf numFmtId="168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9" fontId="0" fillId="0" borderId="2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70" fontId="0" fillId="0" borderId="2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8" fillId="0" borderId="2" pivotButton="0" quotePrefix="0" xfId="0"/>
    <xf numFmtId="165" fontId="8" fillId="0" borderId="2" pivotButton="0" quotePrefix="0" xfId="0"/>
    <xf numFmtId="166" fontId="8" fillId="0" borderId="2" pivotButton="0" quotePrefix="0" xfId="0"/>
    <xf numFmtId="10" fontId="8" fillId="0" borderId="0" pivotButton="0" quotePrefix="0" xfId="0"/>
    <xf numFmtId="10" fontId="8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3" fillId="6" borderId="0" pivotButton="0" quotePrefix="0" xfId="0"/>
    <xf numFmtId="0" fontId="3" fillId="6" borderId="2" pivotButton="0" quotePrefix="0" xfId="0"/>
    <xf numFmtId="0" fontId="2" fillId="0" borderId="0" pivotButton="0" quotePrefix="0" xfId="0"/>
    <xf numFmtId="164" fontId="0" fillId="0" borderId="0" pivotButton="0" quotePrefix="0" xfId="0"/>
    <xf numFmtId="168" fontId="5" fillId="6" borderId="0" pivotButton="0" quotePrefix="0" xfId="0"/>
    <xf numFmtId="168" fontId="5" fillId="6" borderId="2" pivotButton="0" quotePrefix="0" xfId="0"/>
    <xf numFmtId="0" fontId="7" fillId="6" borderId="0" pivotButton="0" quotePrefix="0" xfId="0"/>
    <xf numFmtId="0" fontId="7" fillId="6" borderId="2" pivotButton="0" quotePrefix="0" xfId="0"/>
    <xf numFmtId="168" fontId="2" fillId="0" borderId="1" pivotButton="0" quotePrefix="0" xfId="0"/>
    <xf numFmtId="170" fontId="2" fillId="0" borderId="1" pivotButton="0" quotePrefix="0" xfId="0"/>
    <xf numFmtId="167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168" fontId="0" fillId="7" borderId="0" applyAlignment="1" pivotButton="0" quotePrefix="0" xfId="0">
      <alignment vertical="center"/>
    </xf>
    <xf numFmtId="167" fontId="9" fillId="7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168" fontId="9" fillId="7" borderId="0" applyAlignment="1" pivotButton="0" quotePrefix="0" xfId="0">
      <alignment vertical="center"/>
    </xf>
    <xf numFmtId="167" fontId="9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168" fontId="9" fillId="7" borderId="0" applyAlignment="1" pivotButton="0" quotePrefix="0" xfId="0">
      <alignment vertical="center" wrapText="1"/>
    </xf>
    <xf numFmtId="168" fontId="2" fillId="0" borderId="1" pivotButton="0" quotePrefix="0" xfId="0"/>
    <xf numFmtId="170" fontId="2" fillId="0" borderId="1" pivotButton="0" quotePrefix="0" xfId="0"/>
    <xf numFmtId="168" fontId="0" fillId="0" borderId="0" pivotButton="0" quotePrefix="0" xfId="0"/>
    <xf numFmtId="169" fontId="0" fillId="0" borderId="0" pivotButton="0" quotePrefix="0" xfId="0"/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7" fontId="9" fillId="7" borderId="0" applyAlignment="1" pivotButton="0" quotePrefix="0" xfId="0">
      <alignment vertical="center" wrapText="1"/>
    </xf>
    <xf numFmtId="168" fontId="9" fillId="7" borderId="0" applyAlignment="1" pivotButton="0" quotePrefix="0" xfId="0">
      <alignment vertical="center" wrapText="1"/>
    </xf>
    <xf numFmtId="167" fontId="0" fillId="0" borderId="0" pivotButton="0" quotePrefix="0" xfId="0"/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</cellXfs>
  <cellStyles count="1">
    <cellStyle name="Normal" xfId="0"/>
  </cellStyles>
  <dxfs count="3">
    <dxf>
      <fill>
        <patternFill>
          <bgColor rgb="00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24-Month Income / Expense / Net Cash Flow</a:t>
            </a:r>
          </a:p>
        </rich>
      </tx>
    </title>
    <plotArea>
      <lineChart>
        <grouping val="standard"/>
        <ser>
          <idx val="0"/>
          <order val="0"/>
          <tx>
            <v>Income ($)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Summary'!$A$4:$A$27</f>
              <strCache>
                <ptCount val="0"/>
              </strCache>
            </strRef>
          </cat>
          <val>
            <numRef>
              <f>'Monthly Summary'!$B$4:$B$27</f>
              <numCache>
                <formatCode>$#,##0.00;[Red]($#,##0.00);-</formatCode>
                <ptCount val="0"/>
              </numCache>
            </numRef>
          </val>
        </ser>
        <ser>
          <idx val="1"/>
          <order val="1"/>
          <tx>
            <v>Expenses ($)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Summary'!$A$4:$A$27</f>
              <strCache>
                <ptCount val="0"/>
              </strCache>
            </strRef>
          </cat>
          <val>
            <numRef>
              <f>'Monthly Summary'!$C$4:$C$27</f>
              <numCache>
                <formatCode>$#,##0.00;[Red]($#,##0.00);-</formatCode>
                <ptCount val="0"/>
              </numCache>
            </numRef>
          </val>
        </ser>
        <ser>
          <idx val="2"/>
          <order val="2"/>
          <tx>
            <v>Net Cash Flow ($)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Summary'!$A$4:$A$27</f>
              <strCache>
                <ptCount val="0"/>
              </strCache>
            </strRef>
          </cat>
          <val>
            <numRef>
              <f>'Monthly Summary'!$D$4:$D$27</f>
              <numCache>
                <formatCode>$#,##0.00;[Red]($#,##0.00);-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2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ccountsTable" displayName="AccountsTable" ref="A3:G7" headerRowCount="1">
  <autoFilter ref="A3:G7"/>
  <tableColumns count="7">
    <tableColumn id="1" name="Account ID"/>
    <tableColumn id="2" name="Institution"/>
    <tableColumn id="3" name="Type"/>
    <tableColumn id="4" name="Account Name"/>
    <tableColumn id="5" name="Current Balance"/>
    <tableColumn id="6" name="As Of Date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TransactionsTable" displayName="TransactionsTable" ref="A4:K504" headerRowCount="1">
  <autoFilter ref="A4:K504"/>
  <tableColumns count="11">
    <tableColumn id="1" name="Date"/>
    <tableColumn id="2" name="Account ID"/>
    <tableColumn id="3" name="Merchant / Description"/>
    <tableColumn id="4" name="Type"/>
    <tableColumn id="5" name="Category"/>
    <tableColumn id="6" name="Subcategory"/>
    <tableColumn id="7" name="Amount"/>
    <tableColumn id="8" name="Signed Amount"/>
    <tableColumn id="9" name="Month"/>
    <tableColumn id="10" name="Recurring?"/>
    <tableColumn id="11" name="Notes"/>
  </tableColumns>
  <tableStyleInfo name="TableStyleMedium2" showRowStripes="1"/>
</table>
</file>

<file path=xl/tables/table3.xml><?xml version="1.0" encoding="utf-8"?>
<table xmlns="http://schemas.openxmlformats.org/spreadsheetml/2006/main" id="3" name="BudgetTable" displayName="BudgetTable" ref="A3:H14" headerRowCount="1">
  <autoFilter ref="A3:H14"/>
  <tableColumns count="8">
    <tableColumn id="1" name="Category"/>
    <tableColumn id="2" name="Subcategory"/>
    <tableColumn id="3" name="Budget / Month"/>
    <tableColumn id="4" name="Actual / Month"/>
    <tableColumn id="5" name="Variance"/>
    <tableColumn id="6" name="% Used"/>
    <tableColumn id="7" name="Fixed / Variable"/>
    <tableColumn id="8" name="Notes"/>
  </tableColumns>
  <tableStyleInfo name="TableStyleMedium2" showRowStripes="1"/>
</table>
</file>

<file path=xl/tables/table4.xml><?xml version="1.0" encoding="utf-8"?>
<table xmlns="http://schemas.openxmlformats.org/spreadsheetml/2006/main" id="4" name="BillsTable" displayName="BillsTable" ref="A3:I7" headerRowCount="1">
  <autoFilter ref="A3:I7"/>
  <tableColumns count="9">
    <tableColumn id="1" name="Bill"/>
    <tableColumn id="2" name="Category"/>
    <tableColumn id="3" name="Due Day"/>
    <tableColumn id="4" name="Amount"/>
    <tableColumn id="5" name="Frequency"/>
    <tableColumn id="6" name="Autopay?"/>
    <tableColumn id="7" name="Account ID"/>
    <tableColumn id="8" name="Annual Cost"/>
    <tableColumn id="9" name="Notes"/>
  </tableColumns>
  <tableStyleInfo name="TableStyleMedium2" showRowStripes="1"/>
</table>
</file>

<file path=xl/tables/table5.xml><?xml version="1.0" encoding="utf-8"?>
<table xmlns="http://schemas.openxmlformats.org/spreadsheetml/2006/main" id="5" name="DebtTable" displayName="DebtTable" ref="A3:I6" headerRowCount="1">
  <autoFilter ref="A3:I6"/>
  <tableColumns count="9">
    <tableColumn id="1" name="Debt"/>
    <tableColumn id="2" name="Type"/>
    <tableColumn id="3" name="Interest Rate"/>
    <tableColumn id="4" name="Minimum Payment"/>
    <tableColumn id="5" name="Current Balance"/>
    <tableColumn id="6" name="Extra Payment"/>
    <tableColumn id="7" name="Payoff Priority"/>
    <tableColumn id="8" name="Estimated Monthly Interest"/>
    <tableColumn id="9" name="Notes"/>
  </tableColumns>
  <tableStyleInfo name="TableStyleMedium2" showRowStripes="1"/>
</table>
</file>

<file path=xl/tables/table6.xml><?xml version="1.0" encoding="utf-8"?>
<table xmlns="http://schemas.openxmlformats.org/spreadsheetml/2006/main" id="6" name="InvestmentsTable" displayName="InvestmentsTable" ref="A3:I13" headerRowCount="1">
  <autoFilter ref="A3:I13"/>
  <tableColumns count="9">
    <tableColumn id="1" name="Account ID"/>
    <tableColumn id="2" name="Security / Asset"/>
    <tableColumn id="3" name="Ticker"/>
    <tableColumn id="4" name="Asset Class"/>
    <tableColumn id="5" name="Quantity"/>
    <tableColumn id="6" name="Price"/>
    <tableColumn id="7" name="Market Value"/>
    <tableColumn id="8" name="Cost Basis"/>
    <tableColumn id="9" name="Unrealized Gain/(Loss)"/>
  </tableColumns>
  <tableStyleInfo name="TableStyleMedium2" showRowStripes="1"/>
</table>
</file>

<file path=xl/tables/table7.xml><?xml version="1.0" encoding="utf-8"?>
<table xmlns="http://schemas.openxmlformats.org/spreadsheetml/2006/main" id="7" name="GoalsTable" displayName="GoalsTable" ref="A3:G6" headerRowCount="1">
  <autoFilter ref="A3:G6"/>
  <tableColumns count="7">
    <tableColumn id="1" name="Goal"/>
    <tableColumn id="2" name="Target Amount"/>
    <tableColumn id="3" name="Current Amount"/>
    <tableColumn id="4" name="Target Date"/>
    <tableColumn id="5" name="Monthly Contribution"/>
    <tableColumn id="6" name="Required Monthly Contribution*"/>
    <tableColumn id="7" name="Prio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2" customWidth="1" style="36" min="1" max="1"/>
    <col width="32" customWidth="1" style="36" min="2" max="2"/>
    <col width="20" customWidth="1" style="36" min="3" max="3"/>
    <col width="12" customWidth="1" style="36" min="4" max="4"/>
    <col width="12" customWidth="1" style="36" min="5" max="5"/>
    <col width="12" customWidth="1" style="36" min="6" max="6"/>
    <col width="12" customWidth="1" style="36" min="7" max="7"/>
    <col width="12" customWidth="1" style="36" min="8" max="8"/>
  </cols>
  <sheetData>
    <row r="1" ht="30" customHeight="1" s="36">
      <c r="A1" s="13" t="inlineStr">
        <is>
          <t>Personal Financial Model — Executive Dashboard</t>
        </is>
      </c>
      <c r="B1" s="41" t="n"/>
      <c r="C1" s="41" t="n"/>
      <c r="D1" s="41" t="n"/>
      <c r="E1" s="41" t="n"/>
      <c r="F1" s="41" t="n"/>
      <c r="G1" s="41" t="n"/>
      <c r="H1" s="41" t="n"/>
    </row>
    <row r="3">
      <c r="A3" s="108" t="inlineStr">
        <is>
          <t>Model purpose</t>
        </is>
      </c>
      <c r="B3" t="inlineStr">
        <is>
          <t>Centralize income, spending, bills, debt, cash, investments, and financial goals.</t>
        </is>
      </c>
    </row>
    <row r="4">
      <c r="A4" s="108" t="inlineStr">
        <is>
          <t>Update cadence</t>
        </is>
      </c>
      <c r="B4" t="inlineStr">
        <is>
          <t>Monthly; transaction-level data can be imported more frequently.</t>
        </is>
      </c>
    </row>
    <row r="5">
      <c r="A5" s="108" t="inlineStr">
        <is>
          <t>Bank connection</t>
        </is>
      </c>
      <c r="B5" t="inlineStr">
        <is>
          <t>Designed for future CSV/API aggregation; never store bank passwords in this workbook.</t>
        </is>
      </c>
    </row>
    <row r="7">
      <c r="A7" s="15" t="inlineStr">
        <is>
          <t>Key Monthly Metrics</t>
        </is>
      </c>
      <c r="B7" s="41" t="n"/>
      <c r="C7" s="41" t="n"/>
      <c r="D7" s="41" t="n"/>
    </row>
    <row r="8">
      <c r="A8" s="16" t="inlineStr">
        <is>
          <t>Monthly Net Income</t>
        </is>
      </c>
      <c r="B8" s="125">
        <f>SUMIFS(Transactions!$H:$H,Transactions!$D:$D,"Income")</f>
        <v/>
      </c>
    </row>
    <row r="9">
      <c r="A9" s="16" t="inlineStr">
        <is>
          <t>Monthly Spending</t>
        </is>
      </c>
      <c r="B9" s="125">
        <f>-SUMIFS(Transactions!$H:$H,Transactions!$D:$D,"Expense")</f>
        <v/>
      </c>
    </row>
    <row r="10">
      <c r="A10" s="16" t="inlineStr">
        <is>
          <t>Monthly Surplus / (Deficit)</t>
        </is>
      </c>
      <c r="B10" s="125">
        <f>B8-B9</f>
        <v/>
      </c>
    </row>
    <row r="11">
      <c r="A11" s="16" t="inlineStr">
        <is>
          <t>Savings Rate</t>
        </is>
      </c>
      <c r="B11" s="126">
        <f>IFERROR(B10/B8,0)</f>
        <v/>
      </c>
    </row>
    <row r="14">
      <c r="A14" s="15" t="inlineStr">
        <is>
          <t>Balance Sheet Snapshot</t>
        </is>
      </c>
      <c r="B14" s="41" t="n"/>
      <c r="C14" s="41" t="n"/>
      <c r="D14" s="41" t="n"/>
    </row>
    <row r="15">
      <c r="A15" s="16" t="inlineStr">
        <is>
          <t>Cash</t>
        </is>
      </c>
      <c r="B15" s="18">
        <f>SUMIFS(Accounts!$E:$E,Accounts!$C:$C,"Cash")</f>
        <v/>
      </c>
    </row>
    <row r="16">
      <c r="A16" s="16" t="inlineStr">
        <is>
          <t>Investments</t>
        </is>
      </c>
      <c r="B16" s="18">
        <f>SUMIFS(Accounts!$E:$E,Accounts!$C:$C,"Investment")</f>
        <v/>
      </c>
    </row>
    <row r="17">
      <c r="A17" s="16" t="inlineStr">
        <is>
          <t>Debt</t>
        </is>
      </c>
      <c r="B17" s="18">
        <f>SUM(Debt!$E:$E)</f>
        <v/>
      </c>
    </row>
    <row r="18">
      <c r="A18" s="16" t="inlineStr">
        <is>
          <t>Net Worth</t>
        </is>
      </c>
      <c r="B18" s="18">
        <f>B15+B16-B17</f>
        <v/>
      </c>
    </row>
    <row r="21">
      <c r="A21" s="107" t="inlineStr">
        <is>
          <t>Goal Progress</t>
        </is>
      </c>
      <c r="B21" s="41" t="n"/>
      <c r="C21" s="41" t="n"/>
      <c r="D21" s="41" t="n"/>
      <c r="E21" s="41" t="n"/>
    </row>
    <row r="22">
      <c r="A22" s="108" t="inlineStr">
        <is>
          <t>Goal</t>
        </is>
      </c>
      <c r="B22" s="108" t="inlineStr">
        <is>
          <t>Progress</t>
        </is>
      </c>
      <c r="C22" s="108" t="inlineStr">
        <is>
          <t>Remaining ($)</t>
        </is>
      </c>
    </row>
    <row r="23">
      <c r="A23">
        <f>'Goals'!A4</f>
        <v/>
      </c>
      <c r="B23" s="109">
        <f>IFERROR('Goals'!C4/'Goals'!B4,0)</f>
        <v/>
      </c>
      <c r="C23" s="127">
        <f>'Goals'!B4-'Goals'!C4</f>
        <v/>
      </c>
    </row>
    <row r="24">
      <c r="A24" s="75">
        <f>'Goals'!A5</f>
        <v/>
      </c>
      <c r="B24" s="41" t="n"/>
      <c r="C24" s="41" t="n"/>
      <c r="D24" s="41" t="n"/>
      <c r="E24" s="41" t="n"/>
    </row>
    <row r="25">
      <c r="A25" s="78">
        <f>'Goals'!A6</f>
        <v/>
      </c>
      <c r="B25" s="109">
        <f>IFERROR('Goals'!C6/'Goals'!B6,0)</f>
        <v/>
      </c>
      <c r="C25" s="127">
        <f>'Goals'!B6-'Goals'!C6</f>
        <v/>
      </c>
    </row>
    <row r="26">
      <c r="A26" s="78" t="n"/>
    </row>
    <row r="27">
      <c r="A27" s="78" t="n"/>
    </row>
    <row r="28">
      <c r="A28" s="75" t="inlineStr">
        <is>
          <t>Automation / Data Quality</t>
        </is>
      </c>
      <c r="B28" s="41" t="n"/>
      <c r="C28" s="41" t="n"/>
      <c r="D28" s="41" t="n"/>
      <c r="E28" s="41" t="n"/>
    </row>
    <row r="29">
      <c r="A29" s="78" t="inlineStr">
        <is>
          <t>Raw Rows Imported</t>
        </is>
      </c>
      <c r="B29" s="128">
        <f>COUNTA('Raw Import'!A:A)-1</f>
        <v/>
      </c>
    </row>
    <row r="30">
      <c r="A30" s="78" t="inlineStr">
        <is>
          <t>Normalized Transactions</t>
        </is>
      </c>
      <c r="B30">
        <f>COUNTA(Transactions!A:A)-1</f>
        <v/>
      </c>
    </row>
    <row r="31">
      <c r="A31" s="78" t="inlineStr">
        <is>
          <t>Uncategorized</t>
        </is>
      </c>
      <c r="B31">
        <f>COUNTIF(Transactions!$E:$E,"Uncategorized")</f>
        <v/>
      </c>
    </row>
    <row r="32">
      <c r="A32" s="78" t="inlineStr">
        <is>
          <t>Needs Review</t>
        </is>
      </c>
      <c r="B32">
        <f>COUNTIF(Transactions!$L:$L,"Review")</f>
        <v/>
      </c>
    </row>
    <row r="33">
      <c r="A33" s="78" t="inlineStr">
        <is>
          <t>Last Raw Import</t>
        </is>
      </c>
      <c r="B33" s="128">
        <f>MAX('Raw Import'!L:L)</f>
        <v/>
      </c>
    </row>
  </sheetData>
  <mergeCells count="7">
    <mergeCell ref="A21:E21"/>
    <mergeCell ref="A24:E24"/>
    <mergeCell ref="A28:E28"/>
    <mergeCell ref="A21:D21"/>
    <mergeCell ref="A7:D7"/>
    <mergeCell ref="A1:H1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2" customWidth="1" style="36" min="1" max="1"/>
    <col width="21" customWidth="1" style="36" min="2" max="2"/>
    <col width="12" customWidth="1" style="36" min="3" max="3"/>
    <col width="19" customWidth="1" style="36" min="4" max="4"/>
    <col width="17" customWidth="1" style="36" min="5" max="5"/>
    <col width="12" customWidth="1" style="36" min="6" max="6"/>
    <col width="16" customWidth="1" style="36" min="7" max="7"/>
  </cols>
  <sheetData>
    <row r="1" ht="30" customHeight="1" s="36">
      <c r="A1" s="13" t="inlineStr">
        <is>
          <t>Accounts &amp; Net Worth</t>
        </is>
      </c>
      <c r="B1" s="41" t="n"/>
      <c r="C1" s="41" t="n"/>
      <c r="D1" s="41" t="n"/>
      <c r="E1" s="41" t="n"/>
      <c r="F1" s="41" t="n"/>
      <c r="G1" s="41" t="n"/>
    </row>
    <row r="3">
      <c r="A3" t="inlineStr">
        <is>
          <t>Account ID</t>
        </is>
      </c>
      <c r="B3" t="inlineStr">
        <is>
          <t>Institution</t>
        </is>
      </c>
      <c r="C3" t="inlineStr">
        <is>
          <t>Type</t>
        </is>
      </c>
      <c r="D3" t="inlineStr">
        <is>
          <t>Account Name</t>
        </is>
      </c>
      <c r="E3" t="inlineStr">
        <is>
          <t>Current Balance</t>
        </is>
      </c>
      <c r="F3" t="inlineStr">
        <is>
          <t>As Of Date</t>
        </is>
      </c>
      <c r="G3" t="inlineStr">
        <is>
          <t>Notes</t>
        </is>
      </c>
    </row>
    <row r="4">
      <c r="A4" s="96" t="n"/>
      <c r="B4" s="96" t="n"/>
      <c r="C4" s="96" t="n"/>
      <c r="D4" s="96" t="n"/>
      <c r="E4" s="97" t="n"/>
      <c r="F4" s="98" t="n"/>
      <c r="G4" s="96" t="n"/>
    </row>
    <row r="5">
      <c r="A5" s="96" t="n"/>
      <c r="B5" s="96" t="n"/>
      <c r="C5" s="96" t="n"/>
      <c r="D5" s="96" t="n"/>
      <c r="E5" s="97" t="n"/>
      <c r="F5" s="98" t="n"/>
      <c r="G5" s="96" t="n"/>
    </row>
    <row r="6">
      <c r="A6" s="96" t="n"/>
      <c r="B6" s="96" t="n"/>
      <c r="C6" s="96" t="n"/>
      <c r="D6" s="96" t="n"/>
      <c r="E6" s="97" t="n"/>
      <c r="F6" s="98" t="n"/>
      <c r="G6" s="96" t="n"/>
    </row>
    <row r="7">
      <c r="A7" s="96" t="n"/>
      <c r="B7" s="96" t="n"/>
      <c r="C7" s="96" t="n"/>
      <c r="D7" s="96" t="n"/>
      <c r="E7" s="97" t="n"/>
      <c r="F7" s="98" t="n"/>
      <c r="G7" s="96" t="n"/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4"/>
  <sheetViews>
    <sheetView showGridLines="0" workbookViewId="0">
      <selection activeCell="A1" sqref="A1"/>
    </sheetView>
  </sheetViews>
  <sheetFormatPr baseColWidth="8" defaultRowHeight="15"/>
  <cols>
    <col width="12" customWidth="1" style="36" min="1" max="1"/>
    <col width="12" customWidth="1" style="36" min="2" max="2"/>
    <col width="28" customWidth="1" style="36" min="3" max="3"/>
    <col width="12" customWidth="1" style="36" min="4" max="4"/>
    <col width="18" customWidth="1" style="36" min="5" max="5"/>
    <col width="22" customWidth="1" style="36" min="6" max="6"/>
    <col width="14" customWidth="1" style="36" min="7" max="7"/>
    <col width="16" customWidth="1" style="36" min="8" max="8"/>
    <col width="12" customWidth="1" style="36" min="9" max="9"/>
    <col width="12" customWidth="1" style="36" min="10" max="10"/>
    <col width="22" customWidth="1" style="36" min="11" max="11"/>
    <col width="14" customWidth="1" style="36" min="12" max="12"/>
    <col width="24" customWidth="1" style="36" min="13" max="13"/>
    <col width="14" customWidth="1" style="36" min="14" max="14"/>
    <col width="24" customWidth="1" style="36" min="15" max="15"/>
    <col width="34" customWidth="1" style="36" min="16" max="16"/>
  </cols>
  <sheetData>
    <row r="1" ht="28" customHeight="1" s="36">
      <c r="A1" s="49" t="inlineStr">
        <is>
          <t>Transactions — Normalized Reporting Ledger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>
      <c r="A3" s="87" t="inlineStr">
        <is>
          <t>Clean ledger used by the budget and dashboard. Source data comes from Raw Import; category and recurring status are assigned automatically from Category Rules.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</row>
    <row r="4">
      <c r="A4" s="53" t="inlineStr">
        <is>
          <t>Date</t>
        </is>
      </c>
      <c r="B4" s="53" t="inlineStr">
        <is>
          <t>Account ID</t>
        </is>
      </c>
      <c r="C4" s="53" t="inlineStr">
        <is>
          <t>Merchant / Description</t>
        </is>
      </c>
      <c r="D4" s="53" t="inlineStr">
        <is>
          <t>Type</t>
        </is>
      </c>
      <c r="E4" s="53" t="inlineStr">
        <is>
          <t>Category</t>
        </is>
      </c>
      <c r="F4" s="53" t="inlineStr">
        <is>
          <t>Subcategory</t>
        </is>
      </c>
      <c r="G4" s="53" t="inlineStr">
        <is>
          <t>Amount ($)</t>
        </is>
      </c>
      <c r="H4" s="53" t="inlineStr">
        <is>
          <t>Signed Amount ($)</t>
        </is>
      </c>
      <c r="I4" s="53" t="inlineStr">
        <is>
          <t>Month</t>
        </is>
      </c>
      <c r="J4" s="53" t="inlineStr">
        <is>
          <t>Recurring?</t>
        </is>
      </c>
      <c r="K4" s="53" t="inlineStr">
        <is>
          <t>Notes</t>
        </is>
      </c>
      <c r="L4" s="35" t="inlineStr">
        <is>
          <t>Review Status</t>
        </is>
      </c>
      <c r="M4" s="35" t="inlineStr">
        <is>
          <t>Source Transaction ID</t>
        </is>
      </c>
      <c r="N4" s="35" t="inlineStr">
        <is>
          <t>Source</t>
        </is>
      </c>
      <c r="O4" s="35" t="inlineStr">
        <is>
          <t>Rule Match</t>
        </is>
      </c>
      <c r="P4" s="35" t="inlineStr">
        <is>
          <t>Fingerprint</t>
        </is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</row>
    <row r="5">
      <c r="A5" s="129" t="n"/>
      <c r="B5" s="84" t="n"/>
      <c r="C5" s="84" t="n"/>
      <c r="D5" s="84" t="n"/>
      <c r="E5" s="84" t="n"/>
      <c r="F5" s="84" t="n"/>
      <c r="G5" s="130" t="n"/>
      <c r="H5" s="130" t="n"/>
      <c r="I5" s="84" t="n"/>
      <c r="J5" s="84" t="n"/>
      <c r="K5" s="84" t="n"/>
      <c r="L5" s="84" t="n"/>
      <c r="M5" s="84" t="n"/>
      <c r="N5" s="84">
        <f>IF('Raw Import'!K5="","",'Raw Import'!K5)</f>
        <v/>
      </c>
      <c r="O5" s="84">
        <f>IF(C5="","",IF(AND('Category Rules'!$B$4="Yes",C5&lt;&gt;"",ISNUMBER(SEARCH('Category Rules'!$E$4,C5))),'Category Rules'!$E$4,IF(AND('Category Rules'!$B$5="Yes",C5&lt;&gt;"",ISNUMBER(SEARCH('Category Rules'!$E$5,C5))),'Category Rules'!$E$5,IF(AND('Category Rules'!$B$6="Yes",C5&lt;&gt;"",ISNUMBER(SEARCH('Category Rules'!$E$6,C5))),'Category Rules'!$E$6,IF(AND('Category Rules'!$B$7="Yes",C5&lt;&gt;"",ISNUMBER(SEARCH('Category Rules'!$E$7,C5))),'Category Rules'!$E$7,IF(AND('Category Rules'!$B$8="Yes",C5&lt;&gt;"",ISNUMBER(SEARCH('Category Rules'!$E$8,C5))),'Category Rules'!$E$8,IF(AND('Category Rules'!$B$9="Yes",C5&lt;&gt;"",ISNUMBER(SEARCH('Category Rules'!$E$9,C5))),'Category Rules'!$E$9,IF(AND('Category Rules'!$B$10="Yes",C5&lt;&gt;"",ISNUMBER(SEARCH('Category Rules'!$E$10,C5))),'Category Rules'!$E$10,IF(AND('Category Rules'!$B$11="Yes",C5&lt;&gt;"",ISNUMBER(SEARCH('Category Rules'!$E$11,C5))),'Category Rules'!$E$11,IF(AND('Category Rules'!$B$12="Yes",C5&lt;&gt;"",ISNUMBER(SEARCH('Category Rules'!$E$12,C5))),'Category Rules'!$E$12,IF(AND('Category Rules'!$B$13="Yes",C5&lt;&gt;"",ISNUMBER(SEARCH('Category Rules'!$E$13,C5))),'Category Rules'!$E$13,IF(AND('Category Rules'!$B$14="Yes",C5&lt;&gt;"",ISNUMBER(SEARCH('Category Rules'!$E$14,C5))),'Category Rules'!$E$14,IF(AND('Category Rules'!$B$15="Yes",C5&lt;&gt;"",ISNUMBER(SEARCH('Category Rules'!$E$15,C5))),'Category Rules'!$E$15,IF(AND('Category Rules'!$B$16="Yes",C5&lt;&gt;"",ISNUMBER(SEARCH('Category Rules'!$E$16,C5))),'Category Rules'!$E$16,IF(AND('Category Rules'!$B$17="Yes",C5&lt;&gt;"",ISNUMBER(SEARCH('Category Rules'!$E$17,C5))),'Category Rules'!$E$17,IF(AND('Category Rules'!$B$18="Yes",C5&lt;&gt;"",ISNUMBER(SEARCH('Category Rules'!$E$18,C5))),'Category Rules'!$E$18,IF(AND('Category Rules'!$B$19="Yes",C5&lt;&gt;"",ISNUMBER(SEARCH('Category Rules'!$E$19,C5))),'Category Rules'!$E$19,"No rule matched")))))))))))))))))</f>
        <v/>
      </c>
      <c r="P5" s="84">
        <f>IF(OR(A5="",B5="",C5="",H5=""),"",TEXT(A5,"yyyymmdd")&amp;"|"&amp;B5&amp;"|"&amp;C5&amp;"|"&amp;TEXT(H5,"0.00"))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</row>
    <row r="6">
      <c r="A6" s="129" t="n"/>
      <c r="B6" s="84" t="n"/>
      <c r="C6" s="84" t="n"/>
      <c r="D6" s="84" t="n"/>
      <c r="E6" s="84" t="n"/>
      <c r="F6" s="84" t="n"/>
      <c r="G6" s="130" t="n"/>
      <c r="H6" s="130" t="n"/>
      <c r="I6" s="84" t="n"/>
      <c r="J6" s="84" t="n"/>
      <c r="K6" s="84" t="n"/>
      <c r="L6" s="84" t="n"/>
      <c r="M6" s="84" t="n"/>
      <c r="N6" s="84">
        <f>IF('Raw Import'!K6="","",'Raw Import'!K6)</f>
        <v/>
      </c>
      <c r="O6" s="84">
        <f>IF(C6="","",IF(AND('Category Rules'!$B$4="Yes",C6&lt;&gt;"",ISNUMBER(SEARCH('Category Rules'!$E$4,C6))),'Category Rules'!$E$4,IF(AND('Category Rules'!$B$5="Yes",C6&lt;&gt;"",ISNUMBER(SEARCH('Category Rules'!$E$5,C6))),'Category Rules'!$E$5,IF(AND('Category Rules'!$B$6="Yes",C6&lt;&gt;"",ISNUMBER(SEARCH('Category Rules'!$E$6,C6))),'Category Rules'!$E$6,IF(AND('Category Rules'!$B$7="Yes",C6&lt;&gt;"",ISNUMBER(SEARCH('Category Rules'!$E$7,C6))),'Category Rules'!$E$7,IF(AND('Category Rules'!$B$8="Yes",C6&lt;&gt;"",ISNUMBER(SEARCH('Category Rules'!$E$8,C6))),'Category Rules'!$E$8,IF(AND('Category Rules'!$B$9="Yes",C6&lt;&gt;"",ISNUMBER(SEARCH('Category Rules'!$E$9,C6))),'Category Rules'!$E$9,IF(AND('Category Rules'!$B$10="Yes",C6&lt;&gt;"",ISNUMBER(SEARCH('Category Rules'!$E$10,C6))),'Category Rules'!$E$10,IF(AND('Category Rules'!$B$11="Yes",C6&lt;&gt;"",ISNUMBER(SEARCH('Category Rules'!$E$11,C6))),'Category Rules'!$E$11,IF(AND('Category Rules'!$B$12="Yes",C6&lt;&gt;"",ISNUMBER(SEARCH('Category Rules'!$E$12,C6))),'Category Rules'!$E$12,IF(AND('Category Rules'!$B$13="Yes",C6&lt;&gt;"",ISNUMBER(SEARCH('Category Rules'!$E$13,C6))),'Category Rules'!$E$13,IF(AND('Category Rules'!$B$14="Yes",C6&lt;&gt;"",ISNUMBER(SEARCH('Category Rules'!$E$14,C6))),'Category Rules'!$E$14,IF(AND('Category Rules'!$B$15="Yes",C6&lt;&gt;"",ISNUMBER(SEARCH('Category Rules'!$E$15,C6))),'Category Rules'!$E$15,IF(AND('Category Rules'!$B$16="Yes",C6&lt;&gt;"",ISNUMBER(SEARCH('Category Rules'!$E$16,C6))),'Category Rules'!$E$16,IF(AND('Category Rules'!$B$17="Yes",C6&lt;&gt;"",ISNUMBER(SEARCH('Category Rules'!$E$17,C6))),'Category Rules'!$E$17,IF(AND('Category Rules'!$B$18="Yes",C6&lt;&gt;"",ISNUMBER(SEARCH('Category Rules'!$E$18,C6))),'Category Rules'!$E$18,IF(AND('Category Rules'!$B$19="Yes",C6&lt;&gt;"",ISNUMBER(SEARCH('Category Rules'!$E$19,C6))),'Category Rules'!$E$19,"No rule matched")))))))))))))))))</f>
        <v/>
      </c>
      <c r="P6" s="84">
        <f>IF(OR(A6="",B6="",C6="",H6=""),"",TEXT(A6,"yyyymmdd")&amp;"|"&amp;B6&amp;"|"&amp;C6&amp;"|"&amp;TEXT(H6,"0.00"))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</row>
    <row r="7">
      <c r="A7" s="129" t="n"/>
      <c r="B7" s="84" t="n"/>
      <c r="C7" s="84" t="n"/>
      <c r="D7" s="84" t="n"/>
      <c r="E7" s="84" t="n"/>
      <c r="F7" s="84" t="n"/>
      <c r="G7" s="130" t="n"/>
      <c r="H7" s="130" t="n"/>
      <c r="I7" s="84" t="n"/>
      <c r="J7" s="84" t="n"/>
      <c r="K7" s="84" t="n"/>
      <c r="L7" s="84" t="n"/>
      <c r="M7" s="84" t="n"/>
      <c r="N7" s="84">
        <f>IF('Raw Import'!K7="","",'Raw Import'!K7)</f>
        <v/>
      </c>
      <c r="O7" s="84">
        <f>IF(C7="","",IF(AND('Category Rules'!$B$4="Yes",C7&lt;&gt;"",ISNUMBER(SEARCH('Category Rules'!$E$4,C7))),'Category Rules'!$E$4,IF(AND('Category Rules'!$B$5="Yes",C7&lt;&gt;"",ISNUMBER(SEARCH('Category Rules'!$E$5,C7))),'Category Rules'!$E$5,IF(AND('Category Rules'!$B$6="Yes",C7&lt;&gt;"",ISNUMBER(SEARCH('Category Rules'!$E$6,C7))),'Category Rules'!$E$6,IF(AND('Category Rules'!$B$7="Yes",C7&lt;&gt;"",ISNUMBER(SEARCH('Category Rules'!$E$7,C7))),'Category Rules'!$E$7,IF(AND('Category Rules'!$B$8="Yes",C7&lt;&gt;"",ISNUMBER(SEARCH('Category Rules'!$E$8,C7))),'Category Rules'!$E$8,IF(AND('Category Rules'!$B$9="Yes",C7&lt;&gt;"",ISNUMBER(SEARCH('Category Rules'!$E$9,C7))),'Category Rules'!$E$9,IF(AND('Category Rules'!$B$10="Yes",C7&lt;&gt;"",ISNUMBER(SEARCH('Category Rules'!$E$10,C7))),'Category Rules'!$E$10,IF(AND('Category Rules'!$B$11="Yes",C7&lt;&gt;"",ISNUMBER(SEARCH('Category Rules'!$E$11,C7))),'Category Rules'!$E$11,IF(AND('Category Rules'!$B$12="Yes",C7&lt;&gt;"",ISNUMBER(SEARCH('Category Rules'!$E$12,C7))),'Category Rules'!$E$12,IF(AND('Category Rules'!$B$13="Yes",C7&lt;&gt;"",ISNUMBER(SEARCH('Category Rules'!$E$13,C7))),'Category Rules'!$E$13,IF(AND('Category Rules'!$B$14="Yes",C7&lt;&gt;"",ISNUMBER(SEARCH('Category Rules'!$E$14,C7))),'Category Rules'!$E$14,IF(AND('Category Rules'!$B$15="Yes",C7&lt;&gt;"",ISNUMBER(SEARCH('Category Rules'!$E$15,C7))),'Category Rules'!$E$15,IF(AND('Category Rules'!$B$16="Yes",C7&lt;&gt;"",ISNUMBER(SEARCH('Category Rules'!$E$16,C7))),'Category Rules'!$E$16,IF(AND('Category Rules'!$B$17="Yes",C7&lt;&gt;"",ISNUMBER(SEARCH('Category Rules'!$E$17,C7))),'Category Rules'!$E$17,IF(AND('Category Rules'!$B$18="Yes",C7&lt;&gt;"",ISNUMBER(SEARCH('Category Rules'!$E$18,C7))),'Category Rules'!$E$18,IF(AND('Category Rules'!$B$19="Yes",C7&lt;&gt;"",ISNUMBER(SEARCH('Category Rules'!$E$19,C7))),'Category Rules'!$E$19,"No rule matched")))))))))))))))))</f>
        <v/>
      </c>
      <c r="P7" s="84">
        <f>IF(OR(A7="",B7="",C7="",H7=""),"",TEXT(A7,"yyyymmdd")&amp;"|"&amp;B7&amp;"|"&amp;C7&amp;"|"&amp;TEXT(H7,"0.00"))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</row>
    <row r="8">
      <c r="A8" s="129" t="n"/>
      <c r="B8" s="84" t="n"/>
      <c r="C8" s="84" t="n"/>
      <c r="D8" s="84" t="n"/>
      <c r="E8" s="84" t="n"/>
      <c r="F8" s="84" t="n"/>
      <c r="G8" s="130" t="n"/>
      <c r="H8" s="130" t="n"/>
      <c r="I8" s="84" t="n"/>
      <c r="J8" s="84" t="n"/>
      <c r="K8" s="84" t="n"/>
      <c r="L8" s="84" t="n"/>
      <c r="M8" s="84" t="n"/>
      <c r="N8" s="84">
        <f>IF('Raw Import'!K8="","",'Raw Import'!K8)</f>
        <v/>
      </c>
      <c r="O8" s="84">
        <f>IF(C8="","",IF(AND('Category Rules'!$B$4="Yes",C8&lt;&gt;"",ISNUMBER(SEARCH('Category Rules'!$E$4,C8))),'Category Rules'!$E$4,IF(AND('Category Rules'!$B$5="Yes",C8&lt;&gt;"",ISNUMBER(SEARCH('Category Rules'!$E$5,C8))),'Category Rules'!$E$5,IF(AND('Category Rules'!$B$6="Yes",C8&lt;&gt;"",ISNUMBER(SEARCH('Category Rules'!$E$6,C8))),'Category Rules'!$E$6,IF(AND('Category Rules'!$B$7="Yes",C8&lt;&gt;"",ISNUMBER(SEARCH('Category Rules'!$E$7,C8))),'Category Rules'!$E$7,IF(AND('Category Rules'!$B$8="Yes",C8&lt;&gt;"",ISNUMBER(SEARCH('Category Rules'!$E$8,C8))),'Category Rules'!$E$8,IF(AND('Category Rules'!$B$9="Yes",C8&lt;&gt;"",ISNUMBER(SEARCH('Category Rules'!$E$9,C8))),'Category Rules'!$E$9,IF(AND('Category Rules'!$B$10="Yes",C8&lt;&gt;"",ISNUMBER(SEARCH('Category Rules'!$E$10,C8))),'Category Rules'!$E$10,IF(AND('Category Rules'!$B$11="Yes",C8&lt;&gt;"",ISNUMBER(SEARCH('Category Rules'!$E$11,C8))),'Category Rules'!$E$11,IF(AND('Category Rules'!$B$12="Yes",C8&lt;&gt;"",ISNUMBER(SEARCH('Category Rules'!$E$12,C8))),'Category Rules'!$E$12,IF(AND('Category Rules'!$B$13="Yes",C8&lt;&gt;"",ISNUMBER(SEARCH('Category Rules'!$E$13,C8))),'Category Rules'!$E$13,IF(AND('Category Rules'!$B$14="Yes",C8&lt;&gt;"",ISNUMBER(SEARCH('Category Rules'!$E$14,C8))),'Category Rules'!$E$14,IF(AND('Category Rules'!$B$15="Yes",C8&lt;&gt;"",ISNUMBER(SEARCH('Category Rules'!$E$15,C8))),'Category Rules'!$E$15,IF(AND('Category Rules'!$B$16="Yes",C8&lt;&gt;"",ISNUMBER(SEARCH('Category Rules'!$E$16,C8))),'Category Rules'!$E$16,IF(AND('Category Rules'!$B$17="Yes",C8&lt;&gt;"",ISNUMBER(SEARCH('Category Rules'!$E$17,C8))),'Category Rules'!$E$17,IF(AND('Category Rules'!$B$18="Yes",C8&lt;&gt;"",ISNUMBER(SEARCH('Category Rules'!$E$18,C8))),'Category Rules'!$E$18,IF(AND('Category Rules'!$B$19="Yes",C8&lt;&gt;"",ISNUMBER(SEARCH('Category Rules'!$E$19,C8))),'Category Rules'!$E$19,"No rule matched")))))))))))))))))</f>
        <v/>
      </c>
      <c r="P8" s="84">
        <f>IF(OR(A8="",B8="",C8="",H8=""),"",TEXT(A8,"yyyymmdd")&amp;"|"&amp;B8&amp;"|"&amp;C8&amp;"|"&amp;TEXT(H8,"0.00"))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>
      <c r="A9" s="129" t="n"/>
      <c r="B9" s="84" t="n"/>
      <c r="C9" s="84" t="n"/>
      <c r="D9" s="84" t="n"/>
      <c r="E9" s="84" t="n"/>
      <c r="F9" s="84" t="n"/>
      <c r="G9" s="130" t="n"/>
      <c r="H9" s="130" t="n"/>
      <c r="I9" s="84" t="n"/>
      <c r="J9" s="84" t="n"/>
      <c r="K9" s="84" t="n"/>
      <c r="L9" s="84" t="n"/>
      <c r="M9" s="84" t="n"/>
      <c r="N9" s="84">
        <f>IF('Raw Import'!K9="","",'Raw Import'!K9)</f>
        <v/>
      </c>
      <c r="O9" s="84">
        <f>IF(C9="","",IF(AND('Category Rules'!$B$4="Yes",C9&lt;&gt;"",ISNUMBER(SEARCH('Category Rules'!$E$4,C9))),'Category Rules'!$E$4,IF(AND('Category Rules'!$B$5="Yes",C9&lt;&gt;"",ISNUMBER(SEARCH('Category Rules'!$E$5,C9))),'Category Rules'!$E$5,IF(AND('Category Rules'!$B$6="Yes",C9&lt;&gt;"",ISNUMBER(SEARCH('Category Rules'!$E$6,C9))),'Category Rules'!$E$6,IF(AND('Category Rules'!$B$7="Yes",C9&lt;&gt;"",ISNUMBER(SEARCH('Category Rules'!$E$7,C9))),'Category Rules'!$E$7,IF(AND('Category Rules'!$B$8="Yes",C9&lt;&gt;"",ISNUMBER(SEARCH('Category Rules'!$E$8,C9))),'Category Rules'!$E$8,IF(AND('Category Rules'!$B$9="Yes",C9&lt;&gt;"",ISNUMBER(SEARCH('Category Rules'!$E$9,C9))),'Category Rules'!$E$9,IF(AND('Category Rules'!$B$10="Yes",C9&lt;&gt;"",ISNUMBER(SEARCH('Category Rules'!$E$10,C9))),'Category Rules'!$E$10,IF(AND('Category Rules'!$B$11="Yes",C9&lt;&gt;"",ISNUMBER(SEARCH('Category Rules'!$E$11,C9))),'Category Rules'!$E$11,IF(AND('Category Rules'!$B$12="Yes",C9&lt;&gt;"",ISNUMBER(SEARCH('Category Rules'!$E$12,C9))),'Category Rules'!$E$12,IF(AND('Category Rules'!$B$13="Yes",C9&lt;&gt;"",ISNUMBER(SEARCH('Category Rules'!$E$13,C9))),'Category Rules'!$E$13,IF(AND('Category Rules'!$B$14="Yes",C9&lt;&gt;"",ISNUMBER(SEARCH('Category Rules'!$E$14,C9))),'Category Rules'!$E$14,IF(AND('Category Rules'!$B$15="Yes",C9&lt;&gt;"",ISNUMBER(SEARCH('Category Rules'!$E$15,C9))),'Category Rules'!$E$15,IF(AND('Category Rules'!$B$16="Yes",C9&lt;&gt;"",ISNUMBER(SEARCH('Category Rules'!$E$16,C9))),'Category Rules'!$E$16,IF(AND('Category Rules'!$B$17="Yes",C9&lt;&gt;"",ISNUMBER(SEARCH('Category Rules'!$E$17,C9))),'Category Rules'!$E$17,IF(AND('Category Rules'!$B$18="Yes",C9&lt;&gt;"",ISNUMBER(SEARCH('Category Rules'!$E$18,C9))),'Category Rules'!$E$18,IF(AND('Category Rules'!$B$19="Yes",C9&lt;&gt;"",ISNUMBER(SEARCH('Category Rules'!$E$19,C9))),'Category Rules'!$E$19,"No rule matched")))))))))))))))))</f>
        <v/>
      </c>
      <c r="P9" s="84">
        <f>IF(OR(A9="",B9="",C9="",H9=""),"",TEXT(A9,"yyyymmdd")&amp;"|"&amp;B9&amp;"|"&amp;C9&amp;"|"&amp;TEXT(H9,"0.00"))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>
      <c r="A10" s="129" t="n"/>
      <c r="B10" s="84" t="n"/>
      <c r="C10" s="84" t="n"/>
      <c r="D10" s="84" t="n"/>
      <c r="E10" s="84" t="n"/>
      <c r="F10" s="84" t="n"/>
      <c r="G10" s="130" t="n"/>
      <c r="H10" s="130" t="n"/>
      <c r="I10" s="84" t="n"/>
      <c r="J10" s="84" t="n"/>
      <c r="K10" s="84" t="n"/>
      <c r="L10" s="84" t="n"/>
      <c r="M10" s="84" t="n"/>
      <c r="N10" s="84">
        <f>IF('Raw Import'!K10="","",'Raw Import'!K10)</f>
        <v/>
      </c>
      <c r="O10" s="84">
        <f>IF(C10="","",IF(AND('Category Rules'!$B$4="Yes",C10&lt;&gt;"",ISNUMBER(SEARCH('Category Rules'!$E$4,C10))),'Category Rules'!$E$4,IF(AND('Category Rules'!$B$5="Yes",C10&lt;&gt;"",ISNUMBER(SEARCH('Category Rules'!$E$5,C10))),'Category Rules'!$E$5,IF(AND('Category Rules'!$B$6="Yes",C10&lt;&gt;"",ISNUMBER(SEARCH('Category Rules'!$E$6,C10))),'Category Rules'!$E$6,IF(AND('Category Rules'!$B$7="Yes",C10&lt;&gt;"",ISNUMBER(SEARCH('Category Rules'!$E$7,C10))),'Category Rules'!$E$7,IF(AND('Category Rules'!$B$8="Yes",C10&lt;&gt;"",ISNUMBER(SEARCH('Category Rules'!$E$8,C10))),'Category Rules'!$E$8,IF(AND('Category Rules'!$B$9="Yes",C10&lt;&gt;"",ISNUMBER(SEARCH('Category Rules'!$E$9,C10))),'Category Rules'!$E$9,IF(AND('Category Rules'!$B$10="Yes",C10&lt;&gt;"",ISNUMBER(SEARCH('Category Rules'!$E$10,C10))),'Category Rules'!$E$10,IF(AND('Category Rules'!$B$11="Yes",C10&lt;&gt;"",ISNUMBER(SEARCH('Category Rules'!$E$11,C10))),'Category Rules'!$E$11,IF(AND('Category Rules'!$B$12="Yes",C10&lt;&gt;"",ISNUMBER(SEARCH('Category Rules'!$E$12,C10))),'Category Rules'!$E$12,IF(AND('Category Rules'!$B$13="Yes",C10&lt;&gt;"",ISNUMBER(SEARCH('Category Rules'!$E$13,C10))),'Category Rules'!$E$13,IF(AND('Category Rules'!$B$14="Yes",C10&lt;&gt;"",ISNUMBER(SEARCH('Category Rules'!$E$14,C10))),'Category Rules'!$E$14,IF(AND('Category Rules'!$B$15="Yes",C10&lt;&gt;"",ISNUMBER(SEARCH('Category Rules'!$E$15,C10))),'Category Rules'!$E$15,IF(AND('Category Rules'!$B$16="Yes",C10&lt;&gt;"",ISNUMBER(SEARCH('Category Rules'!$E$16,C10))),'Category Rules'!$E$16,IF(AND('Category Rules'!$B$17="Yes",C10&lt;&gt;"",ISNUMBER(SEARCH('Category Rules'!$E$17,C10))),'Category Rules'!$E$17,IF(AND('Category Rules'!$B$18="Yes",C10&lt;&gt;"",ISNUMBER(SEARCH('Category Rules'!$E$18,C10))),'Category Rules'!$E$18,IF(AND('Category Rules'!$B$19="Yes",C10&lt;&gt;"",ISNUMBER(SEARCH('Category Rules'!$E$19,C10))),'Category Rules'!$E$19,"No rule matched")))))))))))))))))</f>
        <v/>
      </c>
      <c r="P10" s="84">
        <f>IF(OR(A10="",B10="",C10="",H10=""),"",TEXT(A10,"yyyymmdd")&amp;"|"&amp;B10&amp;"|"&amp;C10&amp;"|"&amp;TEXT(H10,"0.00"))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>
      <c r="A11" s="129" t="n"/>
      <c r="B11" s="84" t="n"/>
      <c r="C11" s="84" t="n"/>
      <c r="D11" s="84" t="n"/>
      <c r="E11" s="84" t="n"/>
      <c r="F11" s="84" t="n"/>
      <c r="G11" s="130" t="n"/>
      <c r="H11" s="130" t="n"/>
      <c r="I11" s="84" t="n"/>
      <c r="J11" s="84" t="n"/>
      <c r="K11" s="84" t="n"/>
      <c r="L11" s="84" t="n"/>
      <c r="M11" s="84" t="n"/>
      <c r="N11" s="84">
        <f>IF('Raw Import'!K11="","",'Raw Import'!K11)</f>
        <v/>
      </c>
      <c r="O11" s="84">
        <f>IF(C11="","",IF(AND('Category Rules'!$B$4="Yes",C11&lt;&gt;"",ISNUMBER(SEARCH('Category Rules'!$E$4,C11))),'Category Rules'!$E$4,IF(AND('Category Rules'!$B$5="Yes",C11&lt;&gt;"",ISNUMBER(SEARCH('Category Rules'!$E$5,C11))),'Category Rules'!$E$5,IF(AND('Category Rules'!$B$6="Yes",C11&lt;&gt;"",ISNUMBER(SEARCH('Category Rules'!$E$6,C11))),'Category Rules'!$E$6,IF(AND('Category Rules'!$B$7="Yes",C11&lt;&gt;"",ISNUMBER(SEARCH('Category Rules'!$E$7,C11))),'Category Rules'!$E$7,IF(AND('Category Rules'!$B$8="Yes",C11&lt;&gt;"",ISNUMBER(SEARCH('Category Rules'!$E$8,C11))),'Category Rules'!$E$8,IF(AND('Category Rules'!$B$9="Yes",C11&lt;&gt;"",ISNUMBER(SEARCH('Category Rules'!$E$9,C11))),'Category Rules'!$E$9,IF(AND('Category Rules'!$B$10="Yes",C11&lt;&gt;"",ISNUMBER(SEARCH('Category Rules'!$E$10,C11))),'Category Rules'!$E$10,IF(AND('Category Rules'!$B$11="Yes",C11&lt;&gt;"",ISNUMBER(SEARCH('Category Rules'!$E$11,C11))),'Category Rules'!$E$11,IF(AND('Category Rules'!$B$12="Yes",C11&lt;&gt;"",ISNUMBER(SEARCH('Category Rules'!$E$12,C11))),'Category Rules'!$E$12,IF(AND('Category Rules'!$B$13="Yes",C11&lt;&gt;"",ISNUMBER(SEARCH('Category Rules'!$E$13,C11))),'Category Rules'!$E$13,IF(AND('Category Rules'!$B$14="Yes",C11&lt;&gt;"",ISNUMBER(SEARCH('Category Rules'!$E$14,C11))),'Category Rules'!$E$14,IF(AND('Category Rules'!$B$15="Yes",C11&lt;&gt;"",ISNUMBER(SEARCH('Category Rules'!$E$15,C11))),'Category Rules'!$E$15,IF(AND('Category Rules'!$B$16="Yes",C11&lt;&gt;"",ISNUMBER(SEARCH('Category Rules'!$E$16,C11))),'Category Rules'!$E$16,IF(AND('Category Rules'!$B$17="Yes",C11&lt;&gt;"",ISNUMBER(SEARCH('Category Rules'!$E$17,C11))),'Category Rules'!$E$17,IF(AND('Category Rules'!$B$18="Yes",C11&lt;&gt;"",ISNUMBER(SEARCH('Category Rules'!$E$18,C11))),'Category Rules'!$E$18,IF(AND('Category Rules'!$B$19="Yes",C11&lt;&gt;"",ISNUMBER(SEARCH('Category Rules'!$E$19,C11))),'Category Rules'!$E$19,"No rule matched")))))))))))))))))</f>
        <v/>
      </c>
      <c r="P11" s="84">
        <f>IF(OR(A11="",B11="",C11="",H11=""),"",TEXT(A11,"yyyymmdd")&amp;"|"&amp;B11&amp;"|"&amp;C11&amp;"|"&amp;TEXT(H11,"0.00"))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>
      <c r="A12" s="129" t="n"/>
      <c r="B12" s="84" t="n"/>
      <c r="C12" s="84" t="n"/>
      <c r="D12" s="84" t="n"/>
      <c r="E12" s="84" t="n"/>
      <c r="F12" s="84" t="n"/>
      <c r="G12" s="130" t="n"/>
      <c r="H12" s="130" t="n"/>
      <c r="I12" s="84" t="n"/>
      <c r="J12" s="84" t="n"/>
      <c r="K12" s="84" t="n"/>
      <c r="L12" s="84" t="n"/>
      <c r="M12" s="84" t="n"/>
      <c r="N12" s="84">
        <f>IF('Raw Import'!K12="","",'Raw Import'!K12)</f>
        <v/>
      </c>
      <c r="O12" s="84">
        <f>IF(C12="","",IF(AND('Category Rules'!$B$4="Yes",C12&lt;&gt;"",ISNUMBER(SEARCH('Category Rules'!$E$4,C12))),'Category Rules'!$E$4,IF(AND('Category Rules'!$B$5="Yes",C12&lt;&gt;"",ISNUMBER(SEARCH('Category Rules'!$E$5,C12))),'Category Rules'!$E$5,IF(AND('Category Rules'!$B$6="Yes",C12&lt;&gt;"",ISNUMBER(SEARCH('Category Rules'!$E$6,C12))),'Category Rules'!$E$6,IF(AND('Category Rules'!$B$7="Yes",C12&lt;&gt;"",ISNUMBER(SEARCH('Category Rules'!$E$7,C12))),'Category Rules'!$E$7,IF(AND('Category Rules'!$B$8="Yes",C12&lt;&gt;"",ISNUMBER(SEARCH('Category Rules'!$E$8,C12))),'Category Rules'!$E$8,IF(AND('Category Rules'!$B$9="Yes",C12&lt;&gt;"",ISNUMBER(SEARCH('Category Rules'!$E$9,C12))),'Category Rules'!$E$9,IF(AND('Category Rules'!$B$10="Yes",C12&lt;&gt;"",ISNUMBER(SEARCH('Category Rules'!$E$10,C12))),'Category Rules'!$E$10,IF(AND('Category Rules'!$B$11="Yes",C12&lt;&gt;"",ISNUMBER(SEARCH('Category Rules'!$E$11,C12))),'Category Rules'!$E$11,IF(AND('Category Rules'!$B$12="Yes",C12&lt;&gt;"",ISNUMBER(SEARCH('Category Rules'!$E$12,C12))),'Category Rules'!$E$12,IF(AND('Category Rules'!$B$13="Yes",C12&lt;&gt;"",ISNUMBER(SEARCH('Category Rules'!$E$13,C12))),'Category Rules'!$E$13,IF(AND('Category Rules'!$B$14="Yes",C12&lt;&gt;"",ISNUMBER(SEARCH('Category Rules'!$E$14,C12))),'Category Rules'!$E$14,IF(AND('Category Rules'!$B$15="Yes",C12&lt;&gt;"",ISNUMBER(SEARCH('Category Rules'!$E$15,C12))),'Category Rules'!$E$15,IF(AND('Category Rules'!$B$16="Yes",C12&lt;&gt;"",ISNUMBER(SEARCH('Category Rules'!$E$16,C12))),'Category Rules'!$E$16,IF(AND('Category Rules'!$B$17="Yes",C12&lt;&gt;"",ISNUMBER(SEARCH('Category Rules'!$E$17,C12))),'Category Rules'!$E$17,IF(AND('Category Rules'!$B$18="Yes",C12&lt;&gt;"",ISNUMBER(SEARCH('Category Rules'!$E$18,C12))),'Category Rules'!$E$18,IF(AND('Category Rules'!$B$19="Yes",C12&lt;&gt;"",ISNUMBER(SEARCH('Category Rules'!$E$19,C12))),'Category Rules'!$E$19,"No rule matched")))))))))))))))))</f>
        <v/>
      </c>
      <c r="P12" s="84">
        <f>IF(OR(A12="",B12="",C12="",H12=""),"",TEXT(A12,"yyyymmdd")&amp;"|"&amp;B12&amp;"|"&amp;C12&amp;"|"&amp;TEXT(H12,"0.00"))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>
      <c r="A13" s="129" t="n"/>
      <c r="B13" s="84" t="n"/>
      <c r="C13" s="84" t="n"/>
      <c r="D13" s="84" t="n"/>
      <c r="E13" s="84" t="n"/>
      <c r="F13" s="84" t="n"/>
      <c r="G13" s="130" t="n"/>
      <c r="H13" s="130" t="n"/>
      <c r="I13" s="84" t="n"/>
      <c r="J13" s="84" t="n"/>
      <c r="K13" s="84" t="n"/>
      <c r="L13" s="84" t="n"/>
      <c r="M13" s="84" t="n"/>
      <c r="N13" s="84">
        <f>IF('Raw Import'!K13="","",'Raw Import'!K13)</f>
        <v/>
      </c>
      <c r="O13" s="84">
        <f>IF(C13="","",IF(AND('Category Rules'!$B$4="Yes",C13&lt;&gt;"",ISNUMBER(SEARCH('Category Rules'!$E$4,C13))),'Category Rules'!$E$4,IF(AND('Category Rules'!$B$5="Yes",C13&lt;&gt;"",ISNUMBER(SEARCH('Category Rules'!$E$5,C13))),'Category Rules'!$E$5,IF(AND('Category Rules'!$B$6="Yes",C13&lt;&gt;"",ISNUMBER(SEARCH('Category Rules'!$E$6,C13))),'Category Rules'!$E$6,IF(AND('Category Rules'!$B$7="Yes",C13&lt;&gt;"",ISNUMBER(SEARCH('Category Rules'!$E$7,C13))),'Category Rules'!$E$7,IF(AND('Category Rules'!$B$8="Yes",C13&lt;&gt;"",ISNUMBER(SEARCH('Category Rules'!$E$8,C13))),'Category Rules'!$E$8,IF(AND('Category Rules'!$B$9="Yes",C13&lt;&gt;"",ISNUMBER(SEARCH('Category Rules'!$E$9,C13))),'Category Rules'!$E$9,IF(AND('Category Rules'!$B$10="Yes",C13&lt;&gt;"",ISNUMBER(SEARCH('Category Rules'!$E$10,C13))),'Category Rules'!$E$10,IF(AND('Category Rules'!$B$11="Yes",C13&lt;&gt;"",ISNUMBER(SEARCH('Category Rules'!$E$11,C13))),'Category Rules'!$E$11,IF(AND('Category Rules'!$B$12="Yes",C13&lt;&gt;"",ISNUMBER(SEARCH('Category Rules'!$E$12,C13))),'Category Rules'!$E$12,IF(AND('Category Rules'!$B$13="Yes",C13&lt;&gt;"",ISNUMBER(SEARCH('Category Rules'!$E$13,C13))),'Category Rules'!$E$13,IF(AND('Category Rules'!$B$14="Yes",C13&lt;&gt;"",ISNUMBER(SEARCH('Category Rules'!$E$14,C13))),'Category Rules'!$E$14,IF(AND('Category Rules'!$B$15="Yes",C13&lt;&gt;"",ISNUMBER(SEARCH('Category Rules'!$E$15,C13))),'Category Rules'!$E$15,IF(AND('Category Rules'!$B$16="Yes",C13&lt;&gt;"",ISNUMBER(SEARCH('Category Rules'!$E$16,C13))),'Category Rules'!$E$16,IF(AND('Category Rules'!$B$17="Yes",C13&lt;&gt;"",ISNUMBER(SEARCH('Category Rules'!$E$17,C13))),'Category Rules'!$E$17,IF(AND('Category Rules'!$B$18="Yes",C13&lt;&gt;"",ISNUMBER(SEARCH('Category Rules'!$E$18,C13))),'Category Rules'!$E$18,IF(AND('Category Rules'!$B$19="Yes",C13&lt;&gt;"",ISNUMBER(SEARCH('Category Rules'!$E$19,C13))),'Category Rules'!$E$19,"No rule matched")))))))))))))))))</f>
        <v/>
      </c>
      <c r="P13" s="84">
        <f>IF(OR(A13="",B13="",C13="",H13=""),"",TEXT(A13,"yyyymmdd")&amp;"|"&amp;B13&amp;"|"&amp;C13&amp;"|"&amp;TEXT(H13,"0.00"))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>
      <c r="A14" s="129" t="n"/>
      <c r="B14" s="84" t="n"/>
      <c r="C14" s="84" t="n"/>
      <c r="D14" s="84" t="n"/>
      <c r="E14" s="84" t="n"/>
      <c r="F14" s="84" t="n"/>
      <c r="G14" s="130" t="n"/>
      <c r="H14" s="130" t="n"/>
      <c r="I14" s="84" t="n"/>
      <c r="J14" s="84" t="n"/>
      <c r="K14" s="84" t="n"/>
      <c r="L14" s="84" t="n"/>
      <c r="M14" s="84" t="n"/>
      <c r="N14" s="84">
        <f>IF('Raw Import'!K14="","",'Raw Import'!K14)</f>
        <v/>
      </c>
      <c r="O14" s="84">
        <f>IF(C14="","",IF(AND('Category Rules'!$B$4="Yes",C14&lt;&gt;"",ISNUMBER(SEARCH('Category Rules'!$E$4,C14))),'Category Rules'!$E$4,IF(AND('Category Rules'!$B$5="Yes",C14&lt;&gt;"",ISNUMBER(SEARCH('Category Rules'!$E$5,C14))),'Category Rules'!$E$5,IF(AND('Category Rules'!$B$6="Yes",C14&lt;&gt;"",ISNUMBER(SEARCH('Category Rules'!$E$6,C14))),'Category Rules'!$E$6,IF(AND('Category Rules'!$B$7="Yes",C14&lt;&gt;"",ISNUMBER(SEARCH('Category Rules'!$E$7,C14))),'Category Rules'!$E$7,IF(AND('Category Rules'!$B$8="Yes",C14&lt;&gt;"",ISNUMBER(SEARCH('Category Rules'!$E$8,C14))),'Category Rules'!$E$8,IF(AND('Category Rules'!$B$9="Yes",C14&lt;&gt;"",ISNUMBER(SEARCH('Category Rules'!$E$9,C14))),'Category Rules'!$E$9,IF(AND('Category Rules'!$B$10="Yes",C14&lt;&gt;"",ISNUMBER(SEARCH('Category Rules'!$E$10,C14))),'Category Rules'!$E$10,IF(AND('Category Rules'!$B$11="Yes",C14&lt;&gt;"",ISNUMBER(SEARCH('Category Rules'!$E$11,C14))),'Category Rules'!$E$11,IF(AND('Category Rules'!$B$12="Yes",C14&lt;&gt;"",ISNUMBER(SEARCH('Category Rules'!$E$12,C14))),'Category Rules'!$E$12,IF(AND('Category Rules'!$B$13="Yes",C14&lt;&gt;"",ISNUMBER(SEARCH('Category Rules'!$E$13,C14))),'Category Rules'!$E$13,IF(AND('Category Rules'!$B$14="Yes",C14&lt;&gt;"",ISNUMBER(SEARCH('Category Rules'!$E$14,C14))),'Category Rules'!$E$14,IF(AND('Category Rules'!$B$15="Yes",C14&lt;&gt;"",ISNUMBER(SEARCH('Category Rules'!$E$15,C14))),'Category Rules'!$E$15,IF(AND('Category Rules'!$B$16="Yes",C14&lt;&gt;"",ISNUMBER(SEARCH('Category Rules'!$E$16,C14))),'Category Rules'!$E$16,IF(AND('Category Rules'!$B$17="Yes",C14&lt;&gt;"",ISNUMBER(SEARCH('Category Rules'!$E$17,C14))),'Category Rules'!$E$17,IF(AND('Category Rules'!$B$18="Yes",C14&lt;&gt;"",ISNUMBER(SEARCH('Category Rules'!$E$18,C14))),'Category Rules'!$E$18,IF(AND('Category Rules'!$B$19="Yes",C14&lt;&gt;"",ISNUMBER(SEARCH('Category Rules'!$E$19,C14))),'Category Rules'!$E$19,"No rule matched")))))))))))))))))</f>
        <v/>
      </c>
      <c r="P14" s="84">
        <f>IF(OR(A14="",B14="",C14="",H14=""),"",TEXT(A14,"yyyymmdd")&amp;"|"&amp;B14&amp;"|"&amp;C14&amp;"|"&amp;TEXT(H14,"0.00"))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>
      <c r="A15" s="129" t="n"/>
      <c r="B15" s="84" t="n"/>
      <c r="C15" s="84" t="n"/>
      <c r="D15" s="84" t="n"/>
      <c r="E15" s="84" t="n"/>
      <c r="F15" s="84" t="n"/>
      <c r="G15" s="130" t="n"/>
      <c r="H15" s="130" t="n"/>
      <c r="I15" s="84" t="n"/>
      <c r="J15" s="84" t="n"/>
      <c r="K15" s="84" t="n"/>
      <c r="L15" s="84" t="n"/>
      <c r="M15" s="84" t="n"/>
      <c r="N15" s="84">
        <f>IF('Raw Import'!K15="","",'Raw Import'!K15)</f>
        <v/>
      </c>
      <c r="O15" s="84">
        <f>IF(C15="","",IF(AND('Category Rules'!$B$4="Yes",C15&lt;&gt;"",ISNUMBER(SEARCH('Category Rules'!$E$4,C15))),'Category Rules'!$E$4,IF(AND('Category Rules'!$B$5="Yes",C15&lt;&gt;"",ISNUMBER(SEARCH('Category Rules'!$E$5,C15))),'Category Rules'!$E$5,IF(AND('Category Rules'!$B$6="Yes",C15&lt;&gt;"",ISNUMBER(SEARCH('Category Rules'!$E$6,C15))),'Category Rules'!$E$6,IF(AND('Category Rules'!$B$7="Yes",C15&lt;&gt;"",ISNUMBER(SEARCH('Category Rules'!$E$7,C15))),'Category Rules'!$E$7,IF(AND('Category Rules'!$B$8="Yes",C15&lt;&gt;"",ISNUMBER(SEARCH('Category Rules'!$E$8,C15))),'Category Rules'!$E$8,IF(AND('Category Rules'!$B$9="Yes",C15&lt;&gt;"",ISNUMBER(SEARCH('Category Rules'!$E$9,C15))),'Category Rules'!$E$9,IF(AND('Category Rules'!$B$10="Yes",C15&lt;&gt;"",ISNUMBER(SEARCH('Category Rules'!$E$10,C15))),'Category Rules'!$E$10,IF(AND('Category Rules'!$B$11="Yes",C15&lt;&gt;"",ISNUMBER(SEARCH('Category Rules'!$E$11,C15))),'Category Rules'!$E$11,IF(AND('Category Rules'!$B$12="Yes",C15&lt;&gt;"",ISNUMBER(SEARCH('Category Rules'!$E$12,C15))),'Category Rules'!$E$12,IF(AND('Category Rules'!$B$13="Yes",C15&lt;&gt;"",ISNUMBER(SEARCH('Category Rules'!$E$13,C15))),'Category Rules'!$E$13,IF(AND('Category Rules'!$B$14="Yes",C15&lt;&gt;"",ISNUMBER(SEARCH('Category Rules'!$E$14,C15))),'Category Rules'!$E$14,IF(AND('Category Rules'!$B$15="Yes",C15&lt;&gt;"",ISNUMBER(SEARCH('Category Rules'!$E$15,C15))),'Category Rules'!$E$15,IF(AND('Category Rules'!$B$16="Yes",C15&lt;&gt;"",ISNUMBER(SEARCH('Category Rules'!$E$16,C15))),'Category Rules'!$E$16,IF(AND('Category Rules'!$B$17="Yes",C15&lt;&gt;"",ISNUMBER(SEARCH('Category Rules'!$E$17,C15))),'Category Rules'!$E$17,IF(AND('Category Rules'!$B$18="Yes",C15&lt;&gt;"",ISNUMBER(SEARCH('Category Rules'!$E$18,C15))),'Category Rules'!$E$18,IF(AND('Category Rules'!$B$19="Yes",C15&lt;&gt;"",ISNUMBER(SEARCH('Category Rules'!$E$19,C15))),'Category Rules'!$E$19,"No rule matched")))))))))))))))))</f>
        <v/>
      </c>
      <c r="P15" s="84">
        <f>IF(OR(A15="",B15="",C15="",H15=""),"",TEXT(A15,"yyyymmdd")&amp;"|"&amp;B15&amp;"|"&amp;C15&amp;"|"&amp;TEXT(H15,"0.00"))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>
      <c r="A16" s="129" t="n"/>
      <c r="B16" s="84" t="n"/>
      <c r="C16" s="84" t="n"/>
      <c r="D16" s="84" t="n"/>
      <c r="E16" s="84" t="n"/>
      <c r="F16" s="84" t="n"/>
      <c r="G16" s="130" t="n"/>
      <c r="H16" s="130" t="n"/>
      <c r="I16" s="84" t="n"/>
      <c r="J16" s="84" t="n"/>
      <c r="K16" s="84" t="n"/>
      <c r="L16" s="84" t="n"/>
      <c r="M16" s="84" t="n"/>
      <c r="N16" s="84">
        <f>IF('Raw Import'!K16="","",'Raw Import'!K16)</f>
        <v/>
      </c>
      <c r="O16" s="84">
        <f>IF(C16="","",IF(AND('Category Rules'!$B$4="Yes",C16&lt;&gt;"",ISNUMBER(SEARCH('Category Rules'!$E$4,C16))),'Category Rules'!$E$4,IF(AND('Category Rules'!$B$5="Yes",C16&lt;&gt;"",ISNUMBER(SEARCH('Category Rules'!$E$5,C16))),'Category Rules'!$E$5,IF(AND('Category Rules'!$B$6="Yes",C16&lt;&gt;"",ISNUMBER(SEARCH('Category Rules'!$E$6,C16))),'Category Rules'!$E$6,IF(AND('Category Rules'!$B$7="Yes",C16&lt;&gt;"",ISNUMBER(SEARCH('Category Rules'!$E$7,C16))),'Category Rules'!$E$7,IF(AND('Category Rules'!$B$8="Yes",C16&lt;&gt;"",ISNUMBER(SEARCH('Category Rules'!$E$8,C16))),'Category Rules'!$E$8,IF(AND('Category Rules'!$B$9="Yes",C16&lt;&gt;"",ISNUMBER(SEARCH('Category Rules'!$E$9,C16))),'Category Rules'!$E$9,IF(AND('Category Rules'!$B$10="Yes",C16&lt;&gt;"",ISNUMBER(SEARCH('Category Rules'!$E$10,C16))),'Category Rules'!$E$10,IF(AND('Category Rules'!$B$11="Yes",C16&lt;&gt;"",ISNUMBER(SEARCH('Category Rules'!$E$11,C16))),'Category Rules'!$E$11,IF(AND('Category Rules'!$B$12="Yes",C16&lt;&gt;"",ISNUMBER(SEARCH('Category Rules'!$E$12,C16))),'Category Rules'!$E$12,IF(AND('Category Rules'!$B$13="Yes",C16&lt;&gt;"",ISNUMBER(SEARCH('Category Rules'!$E$13,C16))),'Category Rules'!$E$13,IF(AND('Category Rules'!$B$14="Yes",C16&lt;&gt;"",ISNUMBER(SEARCH('Category Rules'!$E$14,C16))),'Category Rules'!$E$14,IF(AND('Category Rules'!$B$15="Yes",C16&lt;&gt;"",ISNUMBER(SEARCH('Category Rules'!$E$15,C16))),'Category Rules'!$E$15,IF(AND('Category Rules'!$B$16="Yes",C16&lt;&gt;"",ISNUMBER(SEARCH('Category Rules'!$E$16,C16))),'Category Rules'!$E$16,IF(AND('Category Rules'!$B$17="Yes",C16&lt;&gt;"",ISNUMBER(SEARCH('Category Rules'!$E$17,C16))),'Category Rules'!$E$17,IF(AND('Category Rules'!$B$18="Yes",C16&lt;&gt;"",ISNUMBER(SEARCH('Category Rules'!$E$18,C16))),'Category Rules'!$E$18,IF(AND('Category Rules'!$B$19="Yes",C16&lt;&gt;"",ISNUMBER(SEARCH('Category Rules'!$E$19,C16))),'Category Rules'!$E$19,"No rule matched")))))))))))))))))</f>
        <v/>
      </c>
      <c r="P16" s="84">
        <f>IF(OR(A16="",B16="",C16="",H16=""),"",TEXT(A16,"yyyymmdd")&amp;"|"&amp;B16&amp;"|"&amp;C16&amp;"|"&amp;TEXT(H16,"0.00"))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>
      <c r="A17" s="129" t="n"/>
      <c r="B17" s="84" t="n"/>
      <c r="C17" s="84" t="n"/>
      <c r="D17" s="84" t="n"/>
      <c r="E17" s="84" t="n"/>
      <c r="F17" s="84" t="n"/>
      <c r="G17" s="130" t="n"/>
      <c r="H17" s="130" t="n"/>
      <c r="I17" s="84" t="n"/>
      <c r="J17" s="84" t="n"/>
      <c r="K17" s="84" t="n"/>
      <c r="L17" s="84" t="n"/>
      <c r="M17" s="84" t="n"/>
      <c r="N17" s="84">
        <f>IF('Raw Import'!K17="","",'Raw Import'!K17)</f>
        <v/>
      </c>
      <c r="O17" s="84">
        <f>IF(C17="","",IF(AND('Category Rules'!$B$4="Yes",C17&lt;&gt;"",ISNUMBER(SEARCH('Category Rules'!$E$4,C17))),'Category Rules'!$E$4,IF(AND('Category Rules'!$B$5="Yes",C17&lt;&gt;"",ISNUMBER(SEARCH('Category Rules'!$E$5,C17))),'Category Rules'!$E$5,IF(AND('Category Rules'!$B$6="Yes",C17&lt;&gt;"",ISNUMBER(SEARCH('Category Rules'!$E$6,C17))),'Category Rules'!$E$6,IF(AND('Category Rules'!$B$7="Yes",C17&lt;&gt;"",ISNUMBER(SEARCH('Category Rules'!$E$7,C17))),'Category Rules'!$E$7,IF(AND('Category Rules'!$B$8="Yes",C17&lt;&gt;"",ISNUMBER(SEARCH('Category Rules'!$E$8,C17))),'Category Rules'!$E$8,IF(AND('Category Rules'!$B$9="Yes",C17&lt;&gt;"",ISNUMBER(SEARCH('Category Rules'!$E$9,C17))),'Category Rules'!$E$9,IF(AND('Category Rules'!$B$10="Yes",C17&lt;&gt;"",ISNUMBER(SEARCH('Category Rules'!$E$10,C17))),'Category Rules'!$E$10,IF(AND('Category Rules'!$B$11="Yes",C17&lt;&gt;"",ISNUMBER(SEARCH('Category Rules'!$E$11,C17))),'Category Rules'!$E$11,IF(AND('Category Rules'!$B$12="Yes",C17&lt;&gt;"",ISNUMBER(SEARCH('Category Rules'!$E$12,C17))),'Category Rules'!$E$12,IF(AND('Category Rules'!$B$13="Yes",C17&lt;&gt;"",ISNUMBER(SEARCH('Category Rules'!$E$13,C17))),'Category Rules'!$E$13,IF(AND('Category Rules'!$B$14="Yes",C17&lt;&gt;"",ISNUMBER(SEARCH('Category Rules'!$E$14,C17))),'Category Rules'!$E$14,IF(AND('Category Rules'!$B$15="Yes",C17&lt;&gt;"",ISNUMBER(SEARCH('Category Rules'!$E$15,C17))),'Category Rules'!$E$15,IF(AND('Category Rules'!$B$16="Yes",C17&lt;&gt;"",ISNUMBER(SEARCH('Category Rules'!$E$16,C17))),'Category Rules'!$E$16,IF(AND('Category Rules'!$B$17="Yes",C17&lt;&gt;"",ISNUMBER(SEARCH('Category Rules'!$E$17,C17))),'Category Rules'!$E$17,IF(AND('Category Rules'!$B$18="Yes",C17&lt;&gt;"",ISNUMBER(SEARCH('Category Rules'!$E$18,C17))),'Category Rules'!$E$18,IF(AND('Category Rules'!$B$19="Yes",C17&lt;&gt;"",ISNUMBER(SEARCH('Category Rules'!$E$19,C17))),'Category Rules'!$E$19,"No rule matched")))))))))))))))))</f>
        <v/>
      </c>
      <c r="P17" s="84">
        <f>IF(OR(A17="",B17="",C17="",H17=""),"",TEXT(A17,"yyyymmdd")&amp;"|"&amp;B17&amp;"|"&amp;C17&amp;"|"&amp;TEXT(H17,"0.00"))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>
      <c r="A18" s="129" t="n"/>
      <c r="B18" s="84" t="n"/>
      <c r="C18" s="84" t="n"/>
      <c r="D18" s="84" t="n"/>
      <c r="E18" s="84" t="n"/>
      <c r="F18" s="84" t="n"/>
      <c r="G18" s="130" t="n"/>
      <c r="H18" s="130" t="n"/>
      <c r="I18" s="84" t="n"/>
      <c r="J18" s="84" t="n"/>
      <c r="K18" s="84" t="n"/>
      <c r="L18" s="84" t="n"/>
      <c r="M18" s="84" t="n"/>
      <c r="N18" s="84">
        <f>IF('Raw Import'!K18="","",'Raw Import'!K18)</f>
        <v/>
      </c>
      <c r="O18" s="84">
        <f>IF(C18="","",IF(AND('Category Rules'!$B$4="Yes",C18&lt;&gt;"",ISNUMBER(SEARCH('Category Rules'!$E$4,C18))),'Category Rules'!$E$4,IF(AND('Category Rules'!$B$5="Yes",C18&lt;&gt;"",ISNUMBER(SEARCH('Category Rules'!$E$5,C18))),'Category Rules'!$E$5,IF(AND('Category Rules'!$B$6="Yes",C18&lt;&gt;"",ISNUMBER(SEARCH('Category Rules'!$E$6,C18))),'Category Rules'!$E$6,IF(AND('Category Rules'!$B$7="Yes",C18&lt;&gt;"",ISNUMBER(SEARCH('Category Rules'!$E$7,C18))),'Category Rules'!$E$7,IF(AND('Category Rules'!$B$8="Yes",C18&lt;&gt;"",ISNUMBER(SEARCH('Category Rules'!$E$8,C18))),'Category Rules'!$E$8,IF(AND('Category Rules'!$B$9="Yes",C18&lt;&gt;"",ISNUMBER(SEARCH('Category Rules'!$E$9,C18))),'Category Rules'!$E$9,IF(AND('Category Rules'!$B$10="Yes",C18&lt;&gt;"",ISNUMBER(SEARCH('Category Rules'!$E$10,C18))),'Category Rules'!$E$10,IF(AND('Category Rules'!$B$11="Yes",C18&lt;&gt;"",ISNUMBER(SEARCH('Category Rules'!$E$11,C18))),'Category Rules'!$E$11,IF(AND('Category Rules'!$B$12="Yes",C18&lt;&gt;"",ISNUMBER(SEARCH('Category Rules'!$E$12,C18))),'Category Rules'!$E$12,IF(AND('Category Rules'!$B$13="Yes",C18&lt;&gt;"",ISNUMBER(SEARCH('Category Rules'!$E$13,C18))),'Category Rules'!$E$13,IF(AND('Category Rules'!$B$14="Yes",C18&lt;&gt;"",ISNUMBER(SEARCH('Category Rules'!$E$14,C18))),'Category Rules'!$E$14,IF(AND('Category Rules'!$B$15="Yes",C18&lt;&gt;"",ISNUMBER(SEARCH('Category Rules'!$E$15,C18))),'Category Rules'!$E$15,IF(AND('Category Rules'!$B$16="Yes",C18&lt;&gt;"",ISNUMBER(SEARCH('Category Rules'!$E$16,C18))),'Category Rules'!$E$16,IF(AND('Category Rules'!$B$17="Yes",C18&lt;&gt;"",ISNUMBER(SEARCH('Category Rules'!$E$17,C18))),'Category Rules'!$E$17,IF(AND('Category Rules'!$B$18="Yes",C18&lt;&gt;"",ISNUMBER(SEARCH('Category Rules'!$E$18,C18))),'Category Rules'!$E$18,IF(AND('Category Rules'!$B$19="Yes",C18&lt;&gt;"",ISNUMBER(SEARCH('Category Rules'!$E$19,C18))),'Category Rules'!$E$19,"No rule matched")))))))))))))))))</f>
        <v/>
      </c>
      <c r="P18" s="84">
        <f>IF(OR(A18="",B18="",C18="",H18=""),"",TEXT(A18,"yyyymmdd")&amp;"|"&amp;B18&amp;"|"&amp;C18&amp;"|"&amp;TEXT(H18,"0.00"))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>
      <c r="A19" s="129" t="n"/>
      <c r="B19" s="84" t="n"/>
      <c r="C19" s="84" t="n"/>
      <c r="D19" s="84" t="n"/>
      <c r="E19" s="84" t="n"/>
      <c r="F19" s="84" t="n"/>
      <c r="G19" s="130" t="n"/>
      <c r="H19" s="130" t="n"/>
      <c r="I19" s="84" t="n"/>
      <c r="J19" s="84" t="n"/>
      <c r="K19" s="84" t="n"/>
      <c r="L19" s="84" t="n"/>
      <c r="M19" s="84" t="n"/>
      <c r="N19" s="84">
        <f>IF('Raw Import'!K19="","",'Raw Import'!K19)</f>
        <v/>
      </c>
      <c r="O19" s="84">
        <f>IF(C19="","",IF(AND('Category Rules'!$B$4="Yes",C19&lt;&gt;"",ISNUMBER(SEARCH('Category Rules'!$E$4,C19))),'Category Rules'!$E$4,IF(AND('Category Rules'!$B$5="Yes",C19&lt;&gt;"",ISNUMBER(SEARCH('Category Rules'!$E$5,C19))),'Category Rules'!$E$5,IF(AND('Category Rules'!$B$6="Yes",C19&lt;&gt;"",ISNUMBER(SEARCH('Category Rules'!$E$6,C19))),'Category Rules'!$E$6,IF(AND('Category Rules'!$B$7="Yes",C19&lt;&gt;"",ISNUMBER(SEARCH('Category Rules'!$E$7,C19))),'Category Rules'!$E$7,IF(AND('Category Rules'!$B$8="Yes",C19&lt;&gt;"",ISNUMBER(SEARCH('Category Rules'!$E$8,C19))),'Category Rules'!$E$8,IF(AND('Category Rules'!$B$9="Yes",C19&lt;&gt;"",ISNUMBER(SEARCH('Category Rules'!$E$9,C19))),'Category Rules'!$E$9,IF(AND('Category Rules'!$B$10="Yes",C19&lt;&gt;"",ISNUMBER(SEARCH('Category Rules'!$E$10,C19))),'Category Rules'!$E$10,IF(AND('Category Rules'!$B$11="Yes",C19&lt;&gt;"",ISNUMBER(SEARCH('Category Rules'!$E$11,C19))),'Category Rules'!$E$11,IF(AND('Category Rules'!$B$12="Yes",C19&lt;&gt;"",ISNUMBER(SEARCH('Category Rules'!$E$12,C19))),'Category Rules'!$E$12,IF(AND('Category Rules'!$B$13="Yes",C19&lt;&gt;"",ISNUMBER(SEARCH('Category Rules'!$E$13,C19))),'Category Rules'!$E$13,IF(AND('Category Rules'!$B$14="Yes",C19&lt;&gt;"",ISNUMBER(SEARCH('Category Rules'!$E$14,C19))),'Category Rules'!$E$14,IF(AND('Category Rules'!$B$15="Yes",C19&lt;&gt;"",ISNUMBER(SEARCH('Category Rules'!$E$15,C19))),'Category Rules'!$E$15,IF(AND('Category Rules'!$B$16="Yes",C19&lt;&gt;"",ISNUMBER(SEARCH('Category Rules'!$E$16,C19))),'Category Rules'!$E$16,IF(AND('Category Rules'!$B$17="Yes",C19&lt;&gt;"",ISNUMBER(SEARCH('Category Rules'!$E$17,C19))),'Category Rules'!$E$17,IF(AND('Category Rules'!$B$18="Yes",C19&lt;&gt;"",ISNUMBER(SEARCH('Category Rules'!$E$18,C19))),'Category Rules'!$E$18,IF(AND('Category Rules'!$B$19="Yes",C19&lt;&gt;"",ISNUMBER(SEARCH('Category Rules'!$E$19,C19))),'Category Rules'!$E$19,"No rule matched")))))))))))))))))</f>
        <v/>
      </c>
      <c r="P19" s="84">
        <f>IF(OR(A19="",B19="",C19="",H19=""),"",TEXT(A19,"yyyymmdd")&amp;"|"&amp;B19&amp;"|"&amp;C19&amp;"|"&amp;TEXT(H19,"0.00"))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>
      <c r="A20" s="129" t="n"/>
      <c r="B20" s="84" t="n"/>
      <c r="C20" s="84" t="n"/>
      <c r="D20" s="84" t="n"/>
      <c r="E20" s="84" t="n"/>
      <c r="F20" s="84" t="n"/>
      <c r="G20" s="130" t="n"/>
      <c r="H20" s="130" t="n"/>
      <c r="I20" s="84" t="n"/>
      <c r="J20" s="84" t="n"/>
      <c r="K20" s="84" t="n"/>
      <c r="L20" s="84" t="n"/>
      <c r="M20" s="84" t="n"/>
      <c r="N20" s="84">
        <f>IF('Raw Import'!K20="","",'Raw Import'!K20)</f>
        <v/>
      </c>
      <c r="O20" s="84">
        <f>IF(C20="","",IF(AND('Category Rules'!$B$4="Yes",C20&lt;&gt;"",ISNUMBER(SEARCH('Category Rules'!$E$4,C20))),'Category Rules'!$E$4,IF(AND('Category Rules'!$B$5="Yes",C20&lt;&gt;"",ISNUMBER(SEARCH('Category Rules'!$E$5,C20))),'Category Rules'!$E$5,IF(AND('Category Rules'!$B$6="Yes",C20&lt;&gt;"",ISNUMBER(SEARCH('Category Rules'!$E$6,C20))),'Category Rules'!$E$6,IF(AND('Category Rules'!$B$7="Yes",C20&lt;&gt;"",ISNUMBER(SEARCH('Category Rules'!$E$7,C20))),'Category Rules'!$E$7,IF(AND('Category Rules'!$B$8="Yes",C20&lt;&gt;"",ISNUMBER(SEARCH('Category Rules'!$E$8,C20))),'Category Rules'!$E$8,IF(AND('Category Rules'!$B$9="Yes",C20&lt;&gt;"",ISNUMBER(SEARCH('Category Rules'!$E$9,C20))),'Category Rules'!$E$9,IF(AND('Category Rules'!$B$10="Yes",C20&lt;&gt;"",ISNUMBER(SEARCH('Category Rules'!$E$10,C20))),'Category Rules'!$E$10,IF(AND('Category Rules'!$B$11="Yes",C20&lt;&gt;"",ISNUMBER(SEARCH('Category Rules'!$E$11,C20))),'Category Rules'!$E$11,IF(AND('Category Rules'!$B$12="Yes",C20&lt;&gt;"",ISNUMBER(SEARCH('Category Rules'!$E$12,C20))),'Category Rules'!$E$12,IF(AND('Category Rules'!$B$13="Yes",C20&lt;&gt;"",ISNUMBER(SEARCH('Category Rules'!$E$13,C20))),'Category Rules'!$E$13,IF(AND('Category Rules'!$B$14="Yes",C20&lt;&gt;"",ISNUMBER(SEARCH('Category Rules'!$E$14,C20))),'Category Rules'!$E$14,IF(AND('Category Rules'!$B$15="Yes",C20&lt;&gt;"",ISNUMBER(SEARCH('Category Rules'!$E$15,C20))),'Category Rules'!$E$15,IF(AND('Category Rules'!$B$16="Yes",C20&lt;&gt;"",ISNUMBER(SEARCH('Category Rules'!$E$16,C20))),'Category Rules'!$E$16,IF(AND('Category Rules'!$B$17="Yes",C20&lt;&gt;"",ISNUMBER(SEARCH('Category Rules'!$E$17,C20))),'Category Rules'!$E$17,IF(AND('Category Rules'!$B$18="Yes",C20&lt;&gt;"",ISNUMBER(SEARCH('Category Rules'!$E$18,C20))),'Category Rules'!$E$18,IF(AND('Category Rules'!$B$19="Yes",C20&lt;&gt;"",ISNUMBER(SEARCH('Category Rules'!$E$19,C20))),'Category Rules'!$E$19,"No rule matched")))))))))))))))))</f>
        <v/>
      </c>
      <c r="P20" s="84">
        <f>IF(OR(A20="",B20="",C20="",H20=""),"",TEXT(A20,"yyyymmdd")&amp;"|"&amp;B20&amp;"|"&amp;C20&amp;"|"&amp;TEXT(H20,"0.00"))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>
      <c r="A21" s="129" t="n"/>
      <c r="B21" s="84" t="n"/>
      <c r="C21" s="84" t="n"/>
      <c r="D21" s="84" t="n"/>
      <c r="E21" s="84" t="n"/>
      <c r="F21" s="84" t="n"/>
      <c r="G21" s="130" t="n"/>
      <c r="H21" s="130" t="n"/>
      <c r="I21" s="84" t="n"/>
      <c r="J21" s="84" t="n"/>
      <c r="K21" s="84" t="n"/>
      <c r="L21" s="84" t="n"/>
      <c r="M21" s="84" t="n"/>
      <c r="N21" s="84">
        <f>IF('Raw Import'!K21="","",'Raw Import'!K21)</f>
        <v/>
      </c>
      <c r="O21" s="84">
        <f>IF(C21="","",IF(AND('Category Rules'!$B$4="Yes",C21&lt;&gt;"",ISNUMBER(SEARCH('Category Rules'!$E$4,C21))),'Category Rules'!$E$4,IF(AND('Category Rules'!$B$5="Yes",C21&lt;&gt;"",ISNUMBER(SEARCH('Category Rules'!$E$5,C21))),'Category Rules'!$E$5,IF(AND('Category Rules'!$B$6="Yes",C21&lt;&gt;"",ISNUMBER(SEARCH('Category Rules'!$E$6,C21))),'Category Rules'!$E$6,IF(AND('Category Rules'!$B$7="Yes",C21&lt;&gt;"",ISNUMBER(SEARCH('Category Rules'!$E$7,C21))),'Category Rules'!$E$7,IF(AND('Category Rules'!$B$8="Yes",C21&lt;&gt;"",ISNUMBER(SEARCH('Category Rules'!$E$8,C21))),'Category Rules'!$E$8,IF(AND('Category Rules'!$B$9="Yes",C21&lt;&gt;"",ISNUMBER(SEARCH('Category Rules'!$E$9,C21))),'Category Rules'!$E$9,IF(AND('Category Rules'!$B$10="Yes",C21&lt;&gt;"",ISNUMBER(SEARCH('Category Rules'!$E$10,C21))),'Category Rules'!$E$10,IF(AND('Category Rules'!$B$11="Yes",C21&lt;&gt;"",ISNUMBER(SEARCH('Category Rules'!$E$11,C21))),'Category Rules'!$E$11,IF(AND('Category Rules'!$B$12="Yes",C21&lt;&gt;"",ISNUMBER(SEARCH('Category Rules'!$E$12,C21))),'Category Rules'!$E$12,IF(AND('Category Rules'!$B$13="Yes",C21&lt;&gt;"",ISNUMBER(SEARCH('Category Rules'!$E$13,C21))),'Category Rules'!$E$13,IF(AND('Category Rules'!$B$14="Yes",C21&lt;&gt;"",ISNUMBER(SEARCH('Category Rules'!$E$14,C21))),'Category Rules'!$E$14,IF(AND('Category Rules'!$B$15="Yes",C21&lt;&gt;"",ISNUMBER(SEARCH('Category Rules'!$E$15,C21))),'Category Rules'!$E$15,IF(AND('Category Rules'!$B$16="Yes",C21&lt;&gt;"",ISNUMBER(SEARCH('Category Rules'!$E$16,C21))),'Category Rules'!$E$16,IF(AND('Category Rules'!$B$17="Yes",C21&lt;&gt;"",ISNUMBER(SEARCH('Category Rules'!$E$17,C21))),'Category Rules'!$E$17,IF(AND('Category Rules'!$B$18="Yes",C21&lt;&gt;"",ISNUMBER(SEARCH('Category Rules'!$E$18,C21))),'Category Rules'!$E$18,IF(AND('Category Rules'!$B$19="Yes",C21&lt;&gt;"",ISNUMBER(SEARCH('Category Rules'!$E$19,C21))),'Category Rules'!$E$19,"No rule matched")))))))))))))))))</f>
        <v/>
      </c>
      <c r="P21" s="84">
        <f>IF(OR(A21="",B21="",C21="",H21=""),"",TEXT(A21,"yyyymmdd")&amp;"|"&amp;B21&amp;"|"&amp;C21&amp;"|"&amp;TEXT(H21,"0.00"))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>
      <c r="A22" s="129" t="n"/>
      <c r="B22" s="84" t="n"/>
      <c r="C22" s="84" t="n"/>
      <c r="D22" s="84" t="n"/>
      <c r="E22" s="84" t="n"/>
      <c r="F22" s="84" t="n"/>
      <c r="G22" s="130" t="n"/>
      <c r="H22" s="130" t="n"/>
      <c r="I22" s="84" t="n"/>
      <c r="J22" s="84" t="n"/>
      <c r="K22" s="84" t="n"/>
      <c r="L22" s="84" t="n"/>
      <c r="M22" s="84" t="n"/>
      <c r="N22" s="84">
        <f>IF('Raw Import'!K22="","",'Raw Import'!K22)</f>
        <v/>
      </c>
      <c r="O22" s="84">
        <f>IF(C22="","",IF(AND('Category Rules'!$B$4="Yes",C22&lt;&gt;"",ISNUMBER(SEARCH('Category Rules'!$E$4,C22))),'Category Rules'!$E$4,IF(AND('Category Rules'!$B$5="Yes",C22&lt;&gt;"",ISNUMBER(SEARCH('Category Rules'!$E$5,C22))),'Category Rules'!$E$5,IF(AND('Category Rules'!$B$6="Yes",C22&lt;&gt;"",ISNUMBER(SEARCH('Category Rules'!$E$6,C22))),'Category Rules'!$E$6,IF(AND('Category Rules'!$B$7="Yes",C22&lt;&gt;"",ISNUMBER(SEARCH('Category Rules'!$E$7,C22))),'Category Rules'!$E$7,IF(AND('Category Rules'!$B$8="Yes",C22&lt;&gt;"",ISNUMBER(SEARCH('Category Rules'!$E$8,C22))),'Category Rules'!$E$8,IF(AND('Category Rules'!$B$9="Yes",C22&lt;&gt;"",ISNUMBER(SEARCH('Category Rules'!$E$9,C22))),'Category Rules'!$E$9,IF(AND('Category Rules'!$B$10="Yes",C22&lt;&gt;"",ISNUMBER(SEARCH('Category Rules'!$E$10,C22))),'Category Rules'!$E$10,IF(AND('Category Rules'!$B$11="Yes",C22&lt;&gt;"",ISNUMBER(SEARCH('Category Rules'!$E$11,C22))),'Category Rules'!$E$11,IF(AND('Category Rules'!$B$12="Yes",C22&lt;&gt;"",ISNUMBER(SEARCH('Category Rules'!$E$12,C22))),'Category Rules'!$E$12,IF(AND('Category Rules'!$B$13="Yes",C22&lt;&gt;"",ISNUMBER(SEARCH('Category Rules'!$E$13,C22))),'Category Rules'!$E$13,IF(AND('Category Rules'!$B$14="Yes",C22&lt;&gt;"",ISNUMBER(SEARCH('Category Rules'!$E$14,C22))),'Category Rules'!$E$14,IF(AND('Category Rules'!$B$15="Yes",C22&lt;&gt;"",ISNUMBER(SEARCH('Category Rules'!$E$15,C22))),'Category Rules'!$E$15,IF(AND('Category Rules'!$B$16="Yes",C22&lt;&gt;"",ISNUMBER(SEARCH('Category Rules'!$E$16,C22))),'Category Rules'!$E$16,IF(AND('Category Rules'!$B$17="Yes",C22&lt;&gt;"",ISNUMBER(SEARCH('Category Rules'!$E$17,C22))),'Category Rules'!$E$17,IF(AND('Category Rules'!$B$18="Yes",C22&lt;&gt;"",ISNUMBER(SEARCH('Category Rules'!$E$18,C22))),'Category Rules'!$E$18,IF(AND('Category Rules'!$B$19="Yes",C22&lt;&gt;"",ISNUMBER(SEARCH('Category Rules'!$E$19,C22))),'Category Rules'!$E$19,"No rule matched")))))))))))))))))</f>
        <v/>
      </c>
      <c r="P22" s="84">
        <f>IF(OR(A22="",B22="",C22="",H22=""),"",TEXT(A22,"yyyymmdd")&amp;"|"&amp;B22&amp;"|"&amp;C22&amp;"|"&amp;TEXT(H22,"0.00"))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>
      <c r="A23" s="129" t="n"/>
      <c r="B23" s="84" t="n"/>
      <c r="C23" s="84" t="n"/>
      <c r="D23" s="84" t="n"/>
      <c r="E23" s="84" t="n"/>
      <c r="F23" s="84" t="n"/>
      <c r="G23" s="130" t="n"/>
      <c r="H23" s="130" t="n"/>
      <c r="I23" s="84" t="n"/>
      <c r="J23" s="84" t="n"/>
      <c r="K23" s="84" t="n"/>
      <c r="L23" s="84" t="n"/>
      <c r="M23" s="84" t="n"/>
      <c r="N23" s="84">
        <f>IF('Raw Import'!K23="","",'Raw Import'!K23)</f>
        <v/>
      </c>
      <c r="O23" s="84">
        <f>IF(C23="","",IF(AND('Category Rules'!$B$4="Yes",C23&lt;&gt;"",ISNUMBER(SEARCH('Category Rules'!$E$4,C23))),'Category Rules'!$E$4,IF(AND('Category Rules'!$B$5="Yes",C23&lt;&gt;"",ISNUMBER(SEARCH('Category Rules'!$E$5,C23))),'Category Rules'!$E$5,IF(AND('Category Rules'!$B$6="Yes",C23&lt;&gt;"",ISNUMBER(SEARCH('Category Rules'!$E$6,C23))),'Category Rules'!$E$6,IF(AND('Category Rules'!$B$7="Yes",C23&lt;&gt;"",ISNUMBER(SEARCH('Category Rules'!$E$7,C23))),'Category Rules'!$E$7,IF(AND('Category Rules'!$B$8="Yes",C23&lt;&gt;"",ISNUMBER(SEARCH('Category Rules'!$E$8,C23))),'Category Rules'!$E$8,IF(AND('Category Rules'!$B$9="Yes",C23&lt;&gt;"",ISNUMBER(SEARCH('Category Rules'!$E$9,C23))),'Category Rules'!$E$9,IF(AND('Category Rules'!$B$10="Yes",C23&lt;&gt;"",ISNUMBER(SEARCH('Category Rules'!$E$10,C23))),'Category Rules'!$E$10,IF(AND('Category Rules'!$B$11="Yes",C23&lt;&gt;"",ISNUMBER(SEARCH('Category Rules'!$E$11,C23))),'Category Rules'!$E$11,IF(AND('Category Rules'!$B$12="Yes",C23&lt;&gt;"",ISNUMBER(SEARCH('Category Rules'!$E$12,C23))),'Category Rules'!$E$12,IF(AND('Category Rules'!$B$13="Yes",C23&lt;&gt;"",ISNUMBER(SEARCH('Category Rules'!$E$13,C23))),'Category Rules'!$E$13,IF(AND('Category Rules'!$B$14="Yes",C23&lt;&gt;"",ISNUMBER(SEARCH('Category Rules'!$E$14,C23))),'Category Rules'!$E$14,IF(AND('Category Rules'!$B$15="Yes",C23&lt;&gt;"",ISNUMBER(SEARCH('Category Rules'!$E$15,C23))),'Category Rules'!$E$15,IF(AND('Category Rules'!$B$16="Yes",C23&lt;&gt;"",ISNUMBER(SEARCH('Category Rules'!$E$16,C23))),'Category Rules'!$E$16,IF(AND('Category Rules'!$B$17="Yes",C23&lt;&gt;"",ISNUMBER(SEARCH('Category Rules'!$E$17,C23))),'Category Rules'!$E$17,IF(AND('Category Rules'!$B$18="Yes",C23&lt;&gt;"",ISNUMBER(SEARCH('Category Rules'!$E$18,C23))),'Category Rules'!$E$18,IF(AND('Category Rules'!$B$19="Yes",C23&lt;&gt;"",ISNUMBER(SEARCH('Category Rules'!$E$19,C23))),'Category Rules'!$E$19,"No rule matched")))))))))))))))))</f>
        <v/>
      </c>
      <c r="P23" s="84">
        <f>IF(OR(A23="",B23="",C23="",H23=""),"",TEXT(A23,"yyyymmdd")&amp;"|"&amp;B23&amp;"|"&amp;C23&amp;"|"&amp;TEXT(H23,"0.00"))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>
      <c r="A24" s="129" t="n"/>
      <c r="B24" s="84" t="n"/>
      <c r="C24" s="84" t="n"/>
      <c r="D24" s="84" t="n"/>
      <c r="E24" s="84" t="n"/>
      <c r="F24" s="84" t="n"/>
      <c r="G24" s="130" t="n"/>
      <c r="H24" s="130" t="n"/>
      <c r="I24" s="84" t="n"/>
      <c r="J24" s="84" t="n"/>
      <c r="K24" s="84" t="n"/>
      <c r="L24" s="84" t="n"/>
      <c r="M24" s="84" t="n"/>
      <c r="N24" s="84">
        <f>IF('Raw Import'!K24="","",'Raw Import'!K24)</f>
        <v/>
      </c>
      <c r="O24" s="84">
        <f>IF(C24="","",IF(AND('Category Rules'!$B$4="Yes",C24&lt;&gt;"",ISNUMBER(SEARCH('Category Rules'!$E$4,C24))),'Category Rules'!$E$4,IF(AND('Category Rules'!$B$5="Yes",C24&lt;&gt;"",ISNUMBER(SEARCH('Category Rules'!$E$5,C24))),'Category Rules'!$E$5,IF(AND('Category Rules'!$B$6="Yes",C24&lt;&gt;"",ISNUMBER(SEARCH('Category Rules'!$E$6,C24))),'Category Rules'!$E$6,IF(AND('Category Rules'!$B$7="Yes",C24&lt;&gt;"",ISNUMBER(SEARCH('Category Rules'!$E$7,C24))),'Category Rules'!$E$7,IF(AND('Category Rules'!$B$8="Yes",C24&lt;&gt;"",ISNUMBER(SEARCH('Category Rules'!$E$8,C24))),'Category Rules'!$E$8,IF(AND('Category Rules'!$B$9="Yes",C24&lt;&gt;"",ISNUMBER(SEARCH('Category Rules'!$E$9,C24))),'Category Rules'!$E$9,IF(AND('Category Rules'!$B$10="Yes",C24&lt;&gt;"",ISNUMBER(SEARCH('Category Rules'!$E$10,C24))),'Category Rules'!$E$10,IF(AND('Category Rules'!$B$11="Yes",C24&lt;&gt;"",ISNUMBER(SEARCH('Category Rules'!$E$11,C24))),'Category Rules'!$E$11,IF(AND('Category Rules'!$B$12="Yes",C24&lt;&gt;"",ISNUMBER(SEARCH('Category Rules'!$E$12,C24))),'Category Rules'!$E$12,IF(AND('Category Rules'!$B$13="Yes",C24&lt;&gt;"",ISNUMBER(SEARCH('Category Rules'!$E$13,C24))),'Category Rules'!$E$13,IF(AND('Category Rules'!$B$14="Yes",C24&lt;&gt;"",ISNUMBER(SEARCH('Category Rules'!$E$14,C24))),'Category Rules'!$E$14,IF(AND('Category Rules'!$B$15="Yes",C24&lt;&gt;"",ISNUMBER(SEARCH('Category Rules'!$E$15,C24))),'Category Rules'!$E$15,IF(AND('Category Rules'!$B$16="Yes",C24&lt;&gt;"",ISNUMBER(SEARCH('Category Rules'!$E$16,C24))),'Category Rules'!$E$16,IF(AND('Category Rules'!$B$17="Yes",C24&lt;&gt;"",ISNUMBER(SEARCH('Category Rules'!$E$17,C24))),'Category Rules'!$E$17,IF(AND('Category Rules'!$B$18="Yes",C24&lt;&gt;"",ISNUMBER(SEARCH('Category Rules'!$E$18,C24))),'Category Rules'!$E$18,IF(AND('Category Rules'!$B$19="Yes",C24&lt;&gt;"",ISNUMBER(SEARCH('Category Rules'!$E$19,C24))),'Category Rules'!$E$19,"No rule matched")))))))))))))))))</f>
        <v/>
      </c>
      <c r="P24" s="84">
        <f>IF(OR(A24="",B24="",C24="",H24=""),"",TEXT(A24,"yyyymmdd")&amp;"|"&amp;B24&amp;"|"&amp;C24&amp;"|"&amp;TEXT(H24,"0.00"))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>
      <c r="A25" s="129" t="n"/>
      <c r="B25" s="84" t="n"/>
      <c r="C25" s="84" t="n"/>
      <c r="D25" s="84" t="n"/>
      <c r="E25" s="84" t="n"/>
      <c r="F25" s="84" t="n"/>
      <c r="G25" s="130" t="n"/>
      <c r="H25" s="130" t="n"/>
      <c r="I25" s="84" t="n"/>
      <c r="J25" s="84" t="n"/>
      <c r="K25" s="84" t="n"/>
      <c r="L25" s="84" t="n"/>
      <c r="M25" s="84" t="n"/>
      <c r="N25" s="84">
        <f>IF('Raw Import'!K25="","",'Raw Import'!K25)</f>
        <v/>
      </c>
      <c r="O25" s="84">
        <f>IF(C25="","",IF(AND('Category Rules'!$B$4="Yes",C25&lt;&gt;"",ISNUMBER(SEARCH('Category Rules'!$E$4,C25))),'Category Rules'!$E$4,IF(AND('Category Rules'!$B$5="Yes",C25&lt;&gt;"",ISNUMBER(SEARCH('Category Rules'!$E$5,C25))),'Category Rules'!$E$5,IF(AND('Category Rules'!$B$6="Yes",C25&lt;&gt;"",ISNUMBER(SEARCH('Category Rules'!$E$6,C25))),'Category Rules'!$E$6,IF(AND('Category Rules'!$B$7="Yes",C25&lt;&gt;"",ISNUMBER(SEARCH('Category Rules'!$E$7,C25))),'Category Rules'!$E$7,IF(AND('Category Rules'!$B$8="Yes",C25&lt;&gt;"",ISNUMBER(SEARCH('Category Rules'!$E$8,C25))),'Category Rules'!$E$8,IF(AND('Category Rules'!$B$9="Yes",C25&lt;&gt;"",ISNUMBER(SEARCH('Category Rules'!$E$9,C25))),'Category Rules'!$E$9,IF(AND('Category Rules'!$B$10="Yes",C25&lt;&gt;"",ISNUMBER(SEARCH('Category Rules'!$E$10,C25))),'Category Rules'!$E$10,IF(AND('Category Rules'!$B$11="Yes",C25&lt;&gt;"",ISNUMBER(SEARCH('Category Rules'!$E$11,C25))),'Category Rules'!$E$11,IF(AND('Category Rules'!$B$12="Yes",C25&lt;&gt;"",ISNUMBER(SEARCH('Category Rules'!$E$12,C25))),'Category Rules'!$E$12,IF(AND('Category Rules'!$B$13="Yes",C25&lt;&gt;"",ISNUMBER(SEARCH('Category Rules'!$E$13,C25))),'Category Rules'!$E$13,IF(AND('Category Rules'!$B$14="Yes",C25&lt;&gt;"",ISNUMBER(SEARCH('Category Rules'!$E$14,C25))),'Category Rules'!$E$14,IF(AND('Category Rules'!$B$15="Yes",C25&lt;&gt;"",ISNUMBER(SEARCH('Category Rules'!$E$15,C25))),'Category Rules'!$E$15,IF(AND('Category Rules'!$B$16="Yes",C25&lt;&gt;"",ISNUMBER(SEARCH('Category Rules'!$E$16,C25))),'Category Rules'!$E$16,IF(AND('Category Rules'!$B$17="Yes",C25&lt;&gt;"",ISNUMBER(SEARCH('Category Rules'!$E$17,C25))),'Category Rules'!$E$17,IF(AND('Category Rules'!$B$18="Yes",C25&lt;&gt;"",ISNUMBER(SEARCH('Category Rules'!$E$18,C25))),'Category Rules'!$E$18,IF(AND('Category Rules'!$B$19="Yes",C25&lt;&gt;"",ISNUMBER(SEARCH('Category Rules'!$E$19,C25))),'Category Rules'!$E$19,"No rule matched")))))))))))))))))</f>
        <v/>
      </c>
      <c r="P25" s="84">
        <f>IF(OR(A25="",B25="",C25="",H25=""),"",TEXT(A25,"yyyymmdd")&amp;"|"&amp;B25&amp;"|"&amp;C25&amp;"|"&amp;TEXT(H25,"0.00"))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>
      <c r="A26" s="129" t="n"/>
      <c r="B26" s="84" t="n"/>
      <c r="C26" s="84" t="n"/>
      <c r="D26" s="84" t="n"/>
      <c r="E26" s="84" t="n"/>
      <c r="F26" s="84" t="n"/>
      <c r="G26" s="130" t="n"/>
      <c r="H26" s="130" t="n"/>
      <c r="I26" s="84" t="n"/>
      <c r="J26" s="84" t="n"/>
      <c r="K26" s="84" t="n"/>
      <c r="L26" s="84" t="n"/>
      <c r="M26" s="84" t="n"/>
      <c r="N26" s="84">
        <f>IF('Raw Import'!K26="","",'Raw Import'!K26)</f>
        <v/>
      </c>
      <c r="O26" s="84">
        <f>IF(C26="","",IF(AND('Category Rules'!$B$4="Yes",C26&lt;&gt;"",ISNUMBER(SEARCH('Category Rules'!$E$4,C26))),'Category Rules'!$E$4,IF(AND('Category Rules'!$B$5="Yes",C26&lt;&gt;"",ISNUMBER(SEARCH('Category Rules'!$E$5,C26))),'Category Rules'!$E$5,IF(AND('Category Rules'!$B$6="Yes",C26&lt;&gt;"",ISNUMBER(SEARCH('Category Rules'!$E$6,C26))),'Category Rules'!$E$6,IF(AND('Category Rules'!$B$7="Yes",C26&lt;&gt;"",ISNUMBER(SEARCH('Category Rules'!$E$7,C26))),'Category Rules'!$E$7,IF(AND('Category Rules'!$B$8="Yes",C26&lt;&gt;"",ISNUMBER(SEARCH('Category Rules'!$E$8,C26))),'Category Rules'!$E$8,IF(AND('Category Rules'!$B$9="Yes",C26&lt;&gt;"",ISNUMBER(SEARCH('Category Rules'!$E$9,C26))),'Category Rules'!$E$9,IF(AND('Category Rules'!$B$10="Yes",C26&lt;&gt;"",ISNUMBER(SEARCH('Category Rules'!$E$10,C26))),'Category Rules'!$E$10,IF(AND('Category Rules'!$B$11="Yes",C26&lt;&gt;"",ISNUMBER(SEARCH('Category Rules'!$E$11,C26))),'Category Rules'!$E$11,IF(AND('Category Rules'!$B$12="Yes",C26&lt;&gt;"",ISNUMBER(SEARCH('Category Rules'!$E$12,C26))),'Category Rules'!$E$12,IF(AND('Category Rules'!$B$13="Yes",C26&lt;&gt;"",ISNUMBER(SEARCH('Category Rules'!$E$13,C26))),'Category Rules'!$E$13,IF(AND('Category Rules'!$B$14="Yes",C26&lt;&gt;"",ISNUMBER(SEARCH('Category Rules'!$E$14,C26))),'Category Rules'!$E$14,IF(AND('Category Rules'!$B$15="Yes",C26&lt;&gt;"",ISNUMBER(SEARCH('Category Rules'!$E$15,C26))),'Category Rules'!$E$15,IF(AND('Category Rules'!$B$16="Yes",C26&lt;&gt;"",ISNUMBER(SEARCH('Category Rules'!$E$16,C26))),'Category Rules'!$E$16,IF(AND('Category Rules'!$B$17="Yes",C26&lt;&gt;"",ISNUMBER(SEARCH('Category Rules'!$E$17,C26))),'Category Rules'!$E$17,IF(AND('Category Rules'!$B$18="Yes",C26&lt;&gt;"",ISNUMBER(SEARCH('Category Rules'!$E$18,C26))),'Category Rules'!$E$18,IF(AND('Category Rules'!$B$19="Yes",C26&lt;&gt;"",ISNUMBER(SEARCH('Category Rules'!$E$19,C26))),'Category Rules'!$E$19,"No rule matched")))))))))))))))))</f>
        <v/>
      </c>
      <c r="P26" s="84">
        <f>IF(OR(A26="",B26="",C26="",H26=""),"",TEXT(A26,"yyyymmdd")&amp;"|"&amp;B26&amp;"|"&amp;C26&amp;"|"&amp;TEXT(H26,"0.00"))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>
      <c r="A27" s="129" t="n"/>
      <c r="B27" s="84" t="n"/>
      <c r="C27" s="84" t="n"/>
      <c r="D27" s="84" t="n"/>
      <c r="E27" s="84" t="n"/>
      <c r="F27" s="84" t="n"/>
      <c r="G27" s="130" t="n"/>
      <c r="H27" s="130" t="n"/>
      <c r="I27" s="84" t="n"/>
      <c r="J27" s="84" t="n"/>
      <c r="K27" s="84" t="n"/>
      <c r="L27" s="84" t="n"/>
      <c r="M27" s="84" t="n"/>
      <c r="N27" s="84">
        <f>IF('Raw Import'!K27="","",'Raw Import'!K27)</f>
        <v/>
      </c>
      <c r="O27" s="84">
        <f>IF(C27="","",IF(AND('Category Rules'!$B$4="Yes",C27&lt;&gt;"",ISNUMBER(SEARCH('Category Rules'!$E$4,C27))),'Category Rules'!$E$4,IF(AND('Category Rules'!$B$5="Yes",C27&lt;&gt;"",ISNUMBER(SEARCH('Category Rules'!$E$5,C27))),'Category Rules'!$E$5,IF(AND('Category Rules'!$B$6="Yes",C27&lt;&gt;"",ISNUMBER(SEARCH('Category Rules'!$E$6,C27))),'Category Rules'!$E$6,IF(AND('Category Rules'!$B$7="Yes",C27&lt;&gt;"",ISNUMBER(SEARCH('Category Rules'!$E$7,C27))),'Category Rules'!$E$7,IF(AND('Category Rules'!$B$8="Yes",C27&lt;&gt;"",ISNUMBER(SEARCH('Category Rules'!$E$8,C27))),'Category Rules'!$E$8,IF(AND('Category Rules'!$B$9="Yes",C27&lt;&gt;"",ISNUMBER(SEARCH('Category Rules'!$E$9,C27))),'Category Rules'!$E$9,IF(AND('Category Rules'!$B$10="Yes",C27&lt;&gt;"",ISNUMBER(SEARCH('Category Rules'!$E$10,C27))),'Category Rules'!$E$10,IF(AND('Category Rules'!$B$11="Yes",C27&lt;&gt;"",ISNUMBER(SEARCH('Category Rules'!$E$11,C27))),'Category Rules'!$E$11,IF(AND('Category Rules'!$B$12="Yes",C27&lt;&gt;"",ISNUMBER(SEARCH('Category Rules'!$E$12,C27))),'Category Rules'!$E$12,IF(AND('Category Rules'!$B$13="Yes",C27&lt;&gt;"",ISNUMBER(SEARCH('Category Rules'!$E$13,C27))),'Category Rules'!$E$13,IF(AND('Category Rules'!$B$14="Yes",C27&lt;&gt;"",ISNUMBER(SEARCH('Category Rules'!$E$14,C27))),'Category Rules'!$E$14,IF(AND('Category Rules'!$B$15="Yes",C27&lt;&gt;"",ISNUMBER(SEARCH('Category Rules'!$E$15,C27))),'Category Rules'!$E$15,IF(AND('Category Rules'!$B$16="Yes",C27&lt;&gt;"",ISNUMBER(SEARCH('Category Rules'!$E$16,C27))),'Category Rules'!$E$16,IF(AND('Category Rules'!$B$17="Yes",C27&lt;&gt;"",ISNUMBER(SEARCH('Category Rules'!$E$17,C27))),'Category Rules'!$E$17,IF(AND('Category Rules'!$B$18="Yes",C27&lt;&gt;"",ISNUMBER(SEARCH('Category Rules'!$E$18,C27))),'Category Rules'!$E$18,IF(AND('Category Rules'!$B$19="Yes",C27&lt;&gt;"",ISNUMBER(SEARCH('Category Rules'!$E$19,C27))),'Category Rules'!$E$19,"No rule matched")))))))))))))))))</f>
        <v/>
      </c>
      <c r="P27" s="84">
        <f>IF(OR(A27="",B27="",C27="",H27=""),"",TEXT(A27,"yyyymmdd")&amp;"|"&amp;B27&amp;"|"&amp;C27&amp;"|"&amp;TEXT(H27,"0.00"))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>
      <c r="A28" s="129" t="n"/>
      <c r="B28" s="84" t="n"/>
      <c r="C28" s="84" t="n"/>
      <c r="D28" s="84" t="n"/>
      <c r="E28" s="84" t="n"/>
      <c r="F28" s="84" t="n"/>
      <c r="G28" s="130" t="n"/>
      <c r="H28" s="130" t="n"/>
      <c r="I28" s="84" t="n"/>
      <c r="J28" s="84" t="n"/>
      <c r="K28" s="84" t="n"/>
      <c r="L28" s="84" t="n"/>
      <c r="M28" s="84" t="n"/>
      <c r="N28" s="84">
        <f>IF('Raw Import'!K28="","",'Raw Import'!K28)</f>
        <v/>
      </c>
      <c r="O28" s="84">
        <f>IF(C28="","",IF(AND('Category Rules'!$B$4="Yes",C28&lt;&gt;"",ISNUMBER(SEARCH('Category Rules'!$E$4,C28))),'Category Rules'!$E$4,IF(AND('Category Rules'!$B$5="Yes",C28&lt;&gt;"",ISNUMBER(SEARCH('Category Rules'!$E$5,C28))),'Category Rules'!$E$5,IF(AND('Category Rules'!$B$6="Yes",C28&lt;&gt;"",ISNUMBER(SEARCH('Category Rules'!$E$6,C28))),'Category Rules'!$E$6,IF(AND('Category Rules'!$B$7="Yes",C28&lt;&gt;"",ISNUMBER(SEARCH('Category Rules'!$E$7,C28))),'Category Rules'!$E$7,IF(AND('Category Rules'!$B$8="Yes",C28&lt;&gt;"",ISNUMBER(SEARCH('Category Rules'!$E$8,C28))),'Category Rules'!$E$8,IF(AND('Category Rules'!$B$9="Yes",C28&lt;&gt;"",ISNUMBER(SEARCH('Category Rules'!$E$9,C28))),'Category Rules'!$E$9,IF(AND('Category Rules'!$B$10="Yes",C28&lt;&gt;"",ISNUMBER(SEARCH('Category Rules'!$E$10,C28))),'Category Rules'!$E$10,IF(AND('Category Rules'!$B$11="Yes",C28&lt;&gt;"",ISNUMBER(SEARCH('Category Rules'!$E$11,C28))),'Category Rules'!$E$11,IF(AND('Category Rules'!$B$12="Yes",C28&lt;&gt;"",ISNUMBER(SEARCH('Category Rules'!$E$12,C28))),'Category Rules'!$E$12,IF(AND('Category Rules'!$B$13="Yes",C28&lt;&gt;"",ISNUMBER(SEARCH('Category Rules'!$E$13,C28))),'Category Rules'!$E$13,IF(AND('Category Rules'!$B$14="Yes",C28&lt;&gt;"",ISNUMBER(SEARCH('Category Rules'!$E$14,C28))),'Category Rules'!$E$14,IF(AND('Category Rules'!$B$15="Yes",C28&lt;&gt;"",ISNUMBER(SEARCH('Category Rules'!$E$15,C28))),'Category Rules'!$E$15,IF(AND('Category Rules'!$B$16="Yes",C28&lt;&gt;"",ISNUMBER(SEARCH('Category Rules'!$E$16,C28))),'Category Rules'!$E$16,IF(AND('Category Rules'!$B$17="Yes",C28&lt;&gt;"",ISNUMBER(SEARCH('Category Rules'!$E$17,C28))),'Category Rules'!$E$17,IF(AND('Category Rules'!$B$18="Yes",C28&lt;&gt;"",ISNUMBER(SEARCH('Category Rules'!$E$18,C28))),'Category Rules'!$E$18,IF(AND('Category Rules'!$B$19="Yes",C28&lt;&gt;"",ISNUMBER(SEARCH('Category Rules'!$E$19,C28))),'Category Rules'!$E$19,"No rule matched")))))))))))))))))</f>
        <v/>
      </c>
      <c r="P28" s="84">
        <f>IF(OR(A28="",B28="",C28="",H28=""),"",TEXT(A28,"yyyymmdd")&amp;"|"&amp;B28&amp;"|"&amp;C28&amp;"|"&amp;TEXT(H28,"0.00"))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>
      <c r="A29" s="129" t="n"/>
      <c r="B29" s="84" t="n"/>
      <c r="C29" s="84" t="n"/>
      <c r="D29" s="84" t="n"/>
      <c r="E29" s="84" t="n"/>
      <c r="F29" s="84" t="n"/>
      <c r="G29" s="130" t="n"/>
      <c r="H29" s="130" t="n"/>
      <c r="I29" s="84" t="n"/>
      <c r="J29" s="84" t="n"/>
      <c r="K29" s="84" t="n"/>
      <c r="L29" s="84" t="n"/>
      <c r="M29" s="84" t="n"/>
      <c r="N29" s="84">
        <f>IF('Raw Import'!K29="","",'Raw Import'!K29)</f>
        <v/>
      </c>
      <c r="O29" s="84">
        <f>IF(C29="","",IF(AND('Category Rules'!$B$4="Yes",C29&lt;&gt;"",ISNUMBER(SEARCH('Category Rules'!$E$4,C29))),'Category Rules'!$E$4,IF(AND('Category Rules'!$B$5="Yes",C29&lt;&gt;"",ISNUMBER(SEARCH('Category Rules'!$E$5,C29))),'Category Rules'!$E$5,IF(AND('Category Rules'!$B$6="Yes",C29&lt;&gt;"",ISNUMBER(SEARCH('Category Rules'!$E$6,C29))),'Category Rules'!$E$6,IF(AND('Category Rules'!$B$7="Yes",C29&lt;&gt;"",ISNUMBER(SEARCH('Category Rules'!$E$7,C29))),'Category Rules'!$E$7,IF(AND('Category Rules'!$B$8="Yes",C29&lt;&gt;"",ISNUMBER(SEARCH('Category Rules'!$E$8,C29))),'Category Rules'!$E$8,IF(AND('Category Rules'!$B$9="Yes",C29&lt;&gt;"",ISNUMBER(SEARCH('Category Rules'!$E$9,C29))),'Category Rules'!$E$9,IF(AND('Category Rules'!$B$10="Yes",C29&lt;&gt;"",ISNUMBER(SEARCH('Category Rules'!$E$10,C29))),'Category Rules'!$E$10,IF(AND('Category Rules'!$B$11="Yes",C29&lt;&gt;"",ISNUMBER(SEARCH('Category Rules'!$E$11,C29))),'Category Rules'!$E$11,IF(AND('Category Rules'!$B$12="Yes",C29&lt;&gt;"",ISNUMBER(SEARCH('Category Rules'!$E$12,C29))),'Category Rules'!$E$12,IF(AND('Category Rules'!$B$13="Yes",C29&lt;&gt;"",ISNUMBER(SEARCH('Category Rules'!$E$13,C29))),'Category Rules'!$E$13,IF(AND('Category Rules'!$B$14="Yes",C29&lt;&gt;"",ISNUMBER(SEARCH('Category Rules'!$E$14,C29))),'Category Rules'!$E$14,IF(AND('Category Rules'!$B$15="Yes",C29&lt;&gt;"",ISNUMBER(SEARCH('Category Rules'!$E$15,C29))),'Category Rules'!$E$15,IF(AND('Category Rules'!$B$16="Yes",C29&lt;&gt;"",ISNUMBER(SEARCH('Category Rules'!$E$16,C29))),'Category Rules'!$E$16,IF(AND('Category Rules'!$B$17="Yes",C29&lt;&gt;"",ISNUMBER(SEARCH('Category Rules'!$E$17,C29))),'Category Rules'!$E$17,IF(AND('Category Rules'!$B$18="Yes",C29&lt;&gt;"",ISNUMBER(SEARCH('Category Rules'!$E$18,C29))),'Category Rules'!$E$18,IF(AND('Category Rules'!$B$19="Yes",C29&lt;&gt;"",ISNUMBER(SEARCH('Category Rules'!$E$19,C29))),'Category Rules'!$E$19,"No rule matched")))))))))))))))))</f>
        <v/>
      </c>
      <c r="P29" s="84">
        <f>IF(OR(A29="",B29="",C29="",H29=""),"",TEXT(A29,"yyyymmdd")&amp;"|"&amp;B29&amp;"|"&amp;C29&amp;"|"&amp;TEXT(H29,"0.00"))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>
      <c r="A30" s="129" t="n"/>
      <c r="B30" s="84" t="n"/>
      <c r="C30" s="84" t="n"/>
      <c r="D30" s="84" t="n"/>
      <c r="E30" s="84" t="n"/>
      <c r="F30" s="84" t="n"/>
      <c r="G30" s="130" t="n"/>
      <c r="H30" s="130" t="n"/>
      <c r="I30" s="84" t="n"/>
      <c r="J30" s="84" t="n"/>
      <c r="K30" s="84" t="n"/>
      <c r="L30" s="84" t="n"/>
      <c r="M30" s="84" t="n"/>
      <c r="N30" s="84">
        <f>IF('Raw Import'!K30="","",'Raw Import'!K30)</f>
        <v/>
      </c>
      <c r="O30" s="84">
        <f>IF(C30="","",IF(AND('Category Rules'!$B$4="Yes",C30&lt;&gt;"",ISNUMBER(SEARCH('Category Rules'!$E$4,C30))),'Category Rules'!$E$4,IF(AND('Category Rules'!$B$5="Yes",C30&lt;&gt;"",ISNUMBER(SEARCH('Category Rules'!$E$5,C30))),'Category Rules'!$E$5,IF(AND('Category Rules'!$B$6="Yes",C30&lt;&gt;"",ISNUMBER(SEARCH('Category Rules'!$E$6,C30))),'Category Rules'!$E$6,IF(AND('Category Rules'!$B$7="Yes",C30&lt;&gt;"",ISNUMBER(SEARCH('Category Rules'!$E$7,C30))),'Category Rules'!$E$7,IF(AND('Category Rules'!$B$8="Yes",C30&lt;&gt;"",ISNUMBER(SEARCH('Category Rules'!$E$8,C30))),'Category Rules'!$E$8,IF(AND('Category Rules'!$B$9="Yes",C30&lt;&gt;"",ISNUMBER(SEARCH('Category Rules'!$E$9,C30))),'Category Rules'!$E$9,IF(AND('Category Rules'!$B$10="Yes",C30&lt;&gt;"",ISNUMBER(SEARCH('Category Rules'!$E$10,C30))),'Category Rules'!$E$10,IF(AND('Category Rules'!$B$11="Yes",C30&lt;&gt;"",ISNUMBER(SEARCH('Category Rules'!$E$11,C30))),'Category Rules'!$E$11,IF(AND('Category Rules'!$B$12="Yes",C30&lt;&gt;"",ISNUMBER(SEARCH('Category Rules'!$E$12,C30))),'Category Rules'!$E$12,IF(AND('Category Rules'!$B$13="Yes",C30&lt;&gt;"",ISNUMBER(SEARCH('Category Rules'!$E$13,C30))),'Category Rules'!$E$13,IF(AND('Category Rules'!$B$14="Yes",C30&lt;&gt;"",ISNUMBER(SEARCH('Category Rules'!$E$14,C30))),'Category Rules'!$E$14,IF(AND('Category Rules'!$B$15="Yes",C30&lt;&gt;"",ISNUMBER(SEARCH('Category Rules'!$E$15,C30))),'Category Rules'!$E$15,IF(AND('Category Rules'!$B$16="Yes",C30&lt;&gt;"",ISNUMBER(SEARCH('Category Rules'!$E$16,C30))),'Category Rules'!$E$16,IF(AND('Category Rules'!$B$17="Yes",C30&lt;&gt;"",ISNUMBER(SEARCH('Category Rules'!$E$17,C30))),'Category Rules'!$E$17,IF(AND('Category Rules'!$B$18="Yes",C30&lt;&gt;"",ISNUMBER(SEARCH('Category Rules'!$E$18,C30))),'Category Rules'!$E$18,IF(AND('Category Rules'!$B$19="Yes",C30&lt;&gt;"",ISNUMBER(SEARCH('Category Rules'!$E$19,C30))),'Category Rules'!$E$19,"No rule matched")))))))))))))))))</f>
        <v/>
      </c>
      <c r="P30" s="84">
        <f>IF(OR(A30="",B30="",C30="",H30=""),"",TEXT(A30,"yyyymmdd")&amp;"|"&amp;B30&amp;"|"&amp;C30&amp;"|"&amp;TEXT(H30,"0.00"))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>
      <c r="A31" s="129" t="n"/>
      <c r="B31" s="84" t="n"/>
      <c r="C31" s="84" t="n"/>
      <c r="D31" s="84" t="n"/>
      <c r="E31" s="84" t="n"/>
      <c r="F31" s="84" t="n"/>
      <c r="G31" s="130" t="n"/>
      <c r="H31" s="130" t="n"/>
      <c r="I31" s="84" t="n"/>
      <c r="J31" s="84" t="n"/>
      <c r="K31" s="84" t="n"/>
      <c r="L31" s="84" t="n"/>
      <c r="M31" s="84" t="n"/>
      <c r="N31" s="84">
        <f>IF('Raw Import'!K31="","",'Raw Import'!K31)</f>
        <v/>
      </c>
      <c r="O31" s="84">
        <f>IF(C31="","",IF(AND('Category Rules'!$B$4="Yes",C31&lt;&gt;"",ISNUMBER(SEARCH('Category Rules'!$E$4,C31))),'Category Rules'!$E$4,IF(AND('Category Rules'!$B$5="Yes",C31&lt;&gt;"",ISNUMBER(SEARCH('Category Rules'!$E$5,C31))),'Category Rules'!$E$5,IF(AND('Category Rules'!$B$6="Yes",C31&lt;&gt;"",ISNUMBER(SEARCH('Category Rules'!$E$6,C31))),'Category Rules'!$E$6,IF(AND('Category Rules'!$B$7="Yes",C31&lt;&gt;"",ISNUMBER(SEARCH('Category Rules'!$E$7,C31))),'Category Rules'!$E$7,IF(AND('Category Rules'!$B$8="Yes",C31&lt;&gt;"",ISNUMBER(SEARCH('Category Rules'!$E$8,C31))),'Category Rules'!$E$8,IF(AND('Category Rules'!$B$9="Yes",C31&lt;&gt;"",ISNUMBER(SEARCH('Category Rules'!$E$9,C31))),'Category Rules'!$E$9,IF(AND('Category Rules'!$B$10="Yes",C31&lt;&gt;"",ISNUMBER(SEARCH('Category Rules'!$E$10,C31))),'Category Rules'!$E$10,IF(AND('Category Rules'!$B$11="Yes",C31&lt;&gt;"",ISNUMBER(SEARCH('Category Rules'!$E$11,C31))),'Category Rules'!$E$11,IF(AND('Category Rules'!$B$12="Yes",C31&lt;&gt;"",ISNUMBER(SEARCH('Category Rules'!$E$12,C31))),'Category Rules'!$E$12,IF(AND('Category Rules'!$B$13="Yes",C31&lt;&gt;"",ISNUMBER(SEARCH('Category Rules'!$E$13,C31))),'Category Rules'!$E$13,IF(AND('Category Rules'!$B$14="Yes",C31&lt;&gt;"",ISNUMBER(SEARCH('Category Rules'!$E$14,C31))),'Category Rules'!$E$14,IF(AND('Category Rules'!$B$15="Yes",C31&lt;&gt;"",ISNUMBER(SEARCH('Category Rules'!$E$15,C31))),'Category Rules'!$E$15,IF(AND('Category Rules'!$B$16="Yes",C31&lt;&gt;"",ISNUMBER(SEARCH('Category Rules'!$E$16,C31))),'Category Rules'!$E$16,IF(AND('Category Rules'!$B$17="Yes",C31&lt;&gt;"",ISNUMBER(SEARCH('Category Rules'!$E$17,C31))),'Category Rules'!$E$17,IF(AND('Category Rules'!$B$18="Yes",C31&lt;&gt;"",ISNUMBER(SEARCH('Category Rules'!$E$18,C31))),'Category Rules'!$E$18,IF(AND('Category Rules'!$B$19="Yes",C31&lt;&gt;"",ISNUMBER(SEARCH('Category Rules'!$E$19,C31))),'Category Rules'!$E$19,"No rule matched")))))))))))))))))</f>
        <v/>
      </c>
      <c r="P31" s="84">
        <f>IF(OR(A31="",B31="",C31="",H31=""),"",TEXT(A31,"yyyymmdd")&amp;"|"&amp;B31&amp;"|"&amp;C31&amp;"|"&amp;TEXT(H31,"0.00"))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>
      <c r="A32" s="129" t="n"/>
      <c r="B32" s="84" t="n"/>
      <c r="C32" s="84" t="n"/>
      <c r="D32" s="84" t="n"/>
      <c r="E32" s="84" t="n"/>
      <c r="F32" s="84" t="n"/>
      <c r="G32" s="130" t="n"/>
      <c r="H32" s="130" t="n"/>
      <c r="I32" s="84" t="n"/>
      <c r="J32" s="84" t="n"/>
      <c r="K32" s="84" t="n"/>
      <c r="L32" s="84" t="n"/>
      <c r="M32" s="84" t="n"/>
      <c r="N32" s="84">
        <f>IF('Raw Import'!K32="","",'Raw Import'!K32)</f>
        <v/>
      </c>
      <c r="O32" s="84">
        <f>IF(C32="","",IF(AND('Category Rules'!$B$4="Yes",C32&lt;&gt;"",ISNUMBER(SEARCH('Category Rules'!$E$4,C32))),'Category Rules'!$E$4,IF(AND('Category Rules'!$B$5="Yes",C32&lt;&gt;"",ISNUMBER(SEARCH('Category Rules'!$E$5,C32))),'Category Rules'!$E$5,IF(AND('Category Rules'!$B$6="Yes",C32&lt;&gt;"",ISNUMBER(SEARCH('Category Rules'!$E$6,C32))),'Category Rules'!$E$6,IF(AND('Category Rules'!$B$7="Yes",C32&lt;&gt;"",ISNUMBER(SEARCH('Category Rules'!$E$7,C32))),'Category Rules'!$E$7,IF(AND('Category Rules'!$B$8="Yes",C32&lt;&gt;"",ISNUMBER(SEARCH('Category Rules'!$E$8,C32))),'Category Rules'!$E$8,IF(AND('Category Rules'!$B$9="Yes",C32&lt;&gt;"",ISNUMBER(SEARCH('Category Rules'!$E$9,C32))),'Category Rules'!$E$9,IF(AND('Category Rules'!$B$10="Yes",C32&lt;&gt;"",ISNUMBER(SEARCH('Category Rules'!$E$10,C32))),'Category Rules'!$E$10,IF(AND('Category Rules'!$B$11="Yes",C32&lt;&gt;"",ISNUMBER(SEARCH('Category Rules'!$E$11,C32))),'Category Rules'!$E$11,IF(AND('Category Rules'!$B$12="Yes",C32&lt;&gt;"",ISNUMBER(SEARCH('Category Rules'!$E$12,C32))),'Category Rules'!$E$12,IF(AND('Category Rules'!$B$13="Yes",C32&lt;&gt;"",ISNUMBER(SEARCH('Category Rules'!$E$13,C32))),'Category Rules'!$E$13,IF(AND('Category Rules'!$B$14="Yes",C32&lt;&gt;"",ISNUMBER(SEARCH('Category Rules'!$E$14,C32))),'Category Rules'!$E$14,IF(AND('Category Rules'!$B$15="Yes",C32&lt;&gt;"",ISNUMBER(SEARCH('Category Rules'!$E$15,C32))),'Category Rules'!$E$15,IF(AND('Category Rules'!$B$16="Yes",C32&lt;&gt;"",ISNUMBER(SEARCH('Category Rules'!$E$16,C32))),'Category Rules'!$E$16,IF(AND('Category Rules'!$B$17="Yes",C32&lt;&gt;"",ISNUMBER(SEARCH('Category Rules'!$E$17,C32))),'Category Rules'!$E$17,IF(AND('Category Rules'!$B$18="Yes",C32&lt;&gt;"",ISNUMBER(SEARCH('Category Rules'!$E$18,C32))),'Category Rules'!$E$18,IF(AND('Category Rules'!$B$19="Yes",C32&lt;&gt;"",ISNUMBER(SEARCH('Category Rules'!$E$19,C32))),'Category Rules'!$E$19,"No rule matched")))))))))))))))))</f>
        <v/>
      </c>
      <c r="P32" s="84">
        <f>IF(OR(A32="",B32="",C32="",H32=""),"",TEXT(A32,"yyyymmdd")&amp;"|"&amp;B32&amp;"|"&amp;C32&amp;"|"&amp;TEXT(H32,"0.00"))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>
      <c r="A33" s="129" t="n"/>
      <c r="B33" s="84" t="n"/>
      <c r="C33" s="84" t="n"/>
      <c r="D33" s="84" t="n"/>
      <c r="E33" s="84" t="n"/>
      <c r="F33" s="84" t="n"/>
      <c r="G33" s="130" t="n"/>
      <c r="H33" s="130" t="n"/>
      <c r="I33" s="84" t="n"/>
      <c r="J33" s="84" t="n"/>
      <c r="K33" s="84" t="n"/>
      <c r="L33" s="84" t="n"/>
      <c r="M33" s="84" t="n"/>
      <c r="N33" s="84">
        <f>IF('Raw Import'!K33="","",'Raw Import'!K33)</f>
        <v/>
      </c>
      <c r="O33" s="84">
        <f>IF(C33="","",IF(AND('Category Rules'!$B$4="Yes",C33&lt;&gt;"",ISNUMBER(SEARCH('Category Rules'!$E$4,C33))),'Category Rules'!$E$4,IF(AND('Category Rules'!$B$5="Yes",C33&lt;&gt;"",ISNUMBER(SEARCH('Category Rules'!$E$5,C33))),'Category Rules'!$E$5,IF(AND('Category Rules'!$B$6="Yes",C33&lt;&gt;"",ISNUMBER(SEARCH('Category Rules'!$E$6,C33))),'Category Rules'!$E$6,IF(AND('Category Rules'!$B$7="Yes",C33&lt;&gt;"",ISNUMBER(SEARCH('Category Rules'!$E$7,C33))),'Category Rules'!$E$7,IF(AND('Category Rules'!$B$8="Yes",C33&lt;&gt;"",ISNUMBER(SEARCH('Category Rules'!$E$8,C33))),'Category Rules'!$E$8,IF(AND('Category Rules'!$B$9="Yes",C33&lt;&gt;"",ISNUMBER(SEARCH('Category Rules'!$E$9,C33))),'Category Rules'!$E$9,IF(AND('Category Rules'!$B$10="Yes",C33&lt;&gt;"",ISNUMBER(SEARCH('Category Rules'!$E$10,C33))),'Category Rules'!$E$10,IF(AND('Category Rules'!$B$11="Yes",C33&lt;&gt;"",ISNUMBER(SEARCH('Category Rules'!$E$11,C33))),'Category Rules'!$E$11,IF(AND('Category Rules'!$B$12="Yes",C33&lt;&gt;"",ISNUMBER(SEARCH('Category Rules'!$E$12,C33))),'Category Rules'!$E$12,IF(AND('Category Rules'!$B$13="Yes",C33&lt;&gt;"",ISNUMBER(SEARCH('Category Rules'!$E$13,C33))),'Category Rules'!$E$13,IF(AND('Category Rules'!$B$14="Yes",C33&lt;&gt;"",ISNUMBER(SEARCH('Category Rules'!$E$14,C33))),'Category Rules'!$E$14,IF(AND('Category Rules'!$B$15="Yes",C33&lt;&gt;"",ISNUMBER(SEARCH('Category Rules'!$E$15,C33))),'Category Rules'!$E$15,IF(AND('Category Rules'!$B$16="Yes",C33&lt;&gt;"",ISNUMBER(SEARCH('Category Rules'!$E$16,C33))),'Category Rules'!$E$16,IF(AND('Category Rules'!$B$17="Yes",C33&lt;&gt;"",ISNUMBER(SEARCH('Category Rules'!$E$17,C33))),'Category Rules'!$E$17,IF(AND('Category Rules'!$B$18="Yes",C33&lt;&gt;"",ISNUMBER(SEARCH('Category Rules'!$E$18,C33))),'Category Rules'!$E$18,IF(AND('Category Rules'!$B$19="Yes",C33&lt;&gt;"",ISNUMBER(SEARCH('Category Rules'!$E$19,C33))),'Category Rules'!$E$19,"No rule matched")))))))))))))))))</f>
        <v/>
      </c>
      <c r="P33" s="84">
        <f>IF(OR(A33="",B33="",C33="",H33=""),"",TEXT(A33,"yyyymmdd")&amp;"|"&amp;B33&amp;"|"&amp;C33&amp;"|"&amp;TEXT(H33,"0.00"))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>
      <c r="A34" s="129" t="n"/>
      <c r="B34" s="84" t="n"/>
      <c r="C34" s="84" t="n"/>
      <c r="D34" s="84" t="n"/>
      <c r="E34" s="84" t="n"/>
      <c r="F34" s="84" t="n"/>
      <c r="G34" s="130" t="n"/>
      <c r="H34" s="130" t="n"/>
      <c r="I34" s="84" t="n"/>
      <c r="J34" s="84" t="n"/>
      <c r="K34" s="84" t="n"/>
      <c r="L34" s="84" t="n"/>
      <c r="M34" s="84" t="n"/>
      <c r="N34" s="84">
        <f>IF('Raw Import'!K34="","",'Raw Import'!K34)</f>
        <v/>
      </c>
      <c r="O34" s="84">
        <f>IF(C34="","",IF(AND('Category Rules'!$B$4="Yes",C34&lt;&gt;"",ISNUMBER(SEARCH('Category Rules'!$E$4,C34))),'Category Rules'!$E$4,IF(AND('Category Rules'!$B$5="Yes",C34&lt;&gt;"",ISNUMBER(SEARCH('Category Rules'!$E$5,C34))),'Category Rules'!$E$5,IF(AND('Category Rules'!$B$6="Yes",C34&lt;&gt;"",ISNUMBER(SEARCH('Category Rules'!$E$6,C34))),'Category Rules'!$E$6,IF(AND('Category Rules'!$B$7="Yes",C34&lt;&gt;"",ISNUMBER(SEARCH('Category Rules'!$E$7,C34))),'Category Rules'!$E$7,IF(AND('Category Rules'!$B$8="Yes",C34&lt;&gt;"",ISNUMBER(SEARCH('Category Rules'!$E$8,C34))),'Category Rules'!$E$8,IF(AND('Category Rules'!$B$9="Yes",C34&lt;&gt;"",ISNUMBER(SEARCH('Category Rules'!$E$9,C34))),'Category Rules'!$E$9,IF(AND('Category Rules'!$B$10="Yes",C34&lt;&gt;"",ISNUMBER(SEARCH('Category Rules'!$E$10,C34))),'Category Rules'!$E$10,IF(AND('Category Rules'!$B$11="Yes",C34&lt;&gt;"",ISNUMBER(SEARCH('Category Rules'!$E$11,C34))),'Category Rules'!$E$11,IF(AND('Category Rules'!$B$12="Yes",C34&lt;&gt;"",ISNUMBER(SEARCH('Category Rules'!$E$12,C34))),'Category Rules'!$E$12,IF(AND('Category Rules'!$B$13="Yes",C34&lt;&gt;"",ISNUMBER(SEARCH('Category Rules'!$E$13,C34))),'Category Rules'!$E$13,IF(AND('Category Rules'!$B$14="Yes",C34&lt;&gt;"",ISNUMBER(SEARCH('Category Rules'!$E$14,C34))),'Category Rules'!$E$14,IF(AND('Category Rules'!$B$15="Yes",C34&lt;&gt;"",ISNUMBER(SEARCH('Category Rules'!$E$15,C34))),'Category Rules'!$E$15,IF(AND('Category Rules'!$B$16="Yes",C34&lt;&gt;"",ISNUMBER(SEARCH('Category Rules'!$E$16,C34))),'Category Rules'!$E$16,IF(AND('Category Rules'!$B$17="Yes",C34&lt;&gt;"",ISNUMBER(SEARCH('Category Rules'!$E$17,C34))),'Category Rules'!$E$17,IF(AND('Category Rules'!$B$18="Yes",C34&lt;&gt;"",ISNUMBER(SEARCH('Category Rules'!$E$18,C34))),'Category Rules'!$E$18,IF(AND('Category Rules'!$B$19="Yes",C34&lt;&gt;"",ISNUMBER(SEARCH('Category Rules'!$E$19,C34))),'Category Rules'!$E$19,"No rule matched")))))))))))))))))</f>
        <v/>
      </c>
      <c r="P34" s="84">
        <f>IF(OR(A34="",B34="",C34="",H34=""),"",TEXT(A34,"yyyymmdd")&amp;"|"&amp;B34&amp;"|"&amp;C34&amp;"|"&amp;TEXT(H34,"0.00"))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>
      <c r="A35" s="129" t="n"/>
      <c r="B35" s="84" t="n"/>
      <c r="C35" s="84" t="n"/>
      <c r="D35" s="84" t="n"/>
      <c r="E35" s="84" t="n"/>
      <c r="F35" s="84" t="n"/>
      <c r="G35" s="130" t="n"/>
      <c r="H35" s="130" t="n"/>
      <c r="I35" s="84" t="n"/>
      <c r="J35" s="84" t="n"/>
      <c r="K35" s="84" t="n"/>
      <c r="L35" s="84" t="n"/>
      <c r="M35" s="84" t="n"/>
      <c r="N35" s="84">
        <f>IF('Raw Import'!K35="","",'Raw Import'!K35)</f>
        <v/>
      </c>
      <c r="O35" s="84">
        <f>IF(C35="","",IF(AND('Category Rules'!$B$4="Yes",C35&lt;&gt;"",ISNUMBER(SEARCH('Category Rules'!$E$4,C35))),'Category Rules'!$E$4,IF(AND('Category Rules'!$B$5="Yes",C35&lt;&gt;"",ISNUMBER(SEARCH('Category Rules'!$E$5,C35))),'Category Rules'!$E$5,IF(AND('Category Rules'!$B$6="Yes",C35&lt;&gt;"",ISNUMBER(SEARCH('Category Rules'!$E$6,C35))),'Category Rules'!$E$6,IF(AND('Category Rules'!$B$7="Yes",C35&lt;&gt;"",ISNUMBER(SEARCH('Category Rules'!$E$7,C35))),'Category Rules'!$E$7,IF(AND('Category Rules'!$B$8="Yes",C35&lt;&gt;"",ISNUMBER(SEARCH('Category Rules'!$E$8,C35))),'Category Rules'!$E$8,IF(AND('Category Rules'!$B$9="Yes",C35&lt;&gt;"",ISNUMBER(SEARCH('Category Rules'!$E$9,C35))),'Category Rules'!$E$9,IF(AND('Category Rules'!$B$10="Yes",C35&lt;&gt;"",ISNUMBER(SEARCH('Category Rules'!$E$10,C35))),'Category Rules'!$E$10,IF(AND('Category Rules'!$B$11="Yes",C35&lt;&gt;"",ISNUMBER(SEARCH('Category Rules'!$E$11,C35))),'Category Rules'!$E$11,IF(AND('Category Rules'!$B$12="Yes",C35&lt;&gt;"",ISNUMBER(SEARCH('Category Rules'!$E$12,C35))),'Category Rules'!$E$12,IF(AND('Category Rules'!$B$13="Yes",C35&lt;&gt;"",ISNUMBER(SEARCH('Category Rules'!$E$13,C35))),'Category Rules'!$E$13,IF(AND('Category Rules'!$B$14="Yes",C35&lt;&gt;"",ISNUMBER(SEARCH('Category Rules'!$E$14,C35))),'Category Rules'!$E$14,IF(AND('Category Rules'!$B$15="Yes",C35&lt;&gt;"",ISNUMBER(SEARCH('Category Rules'!$E$15,C35))),'Category Rules'!$E$15,IF(AND('Category Rules'!$B$16="Yes",C35&lt;&gt;"",ISNUMBER(SEARCH('Category Rules'!$E$16,C35))),'Category Rules'!$E$16,IF(AND('Category Rules'!$B$17="Yes",C35&lt;&gt;"",ISNUMBER(SEARCH('Category Rules'!$E$17,C35))),'Category Rules'!$E$17,IF(AND('Category Rules'!$B$18="Yes",C35&lt;&gt;"",ISNUMBER(SEARCH('Category Rules'!$E$18,C35))),'Category Rules'!$E$18,IF(AND('Category Rules'!$B$19="Yes",C35&lt;&gt;"",ISNUMBER(SEARCH('Category Rules'!$E$19,C35))),'Category Rules'!$E$19,"No rule matched")))))))))))))))))</f>
        <v/>
      </c>
      <c r="P35" s="84">
        <f>IF(OR(A35="",B35="",C35="",H35=""),"",TEXT(A35,"yyyymmdd")&amp;"|"&amp;B35&amp;"|"&amp;C35&amp;"|"&amp;TEXT(H35,"0.00"))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>
      <c r="A36" s="129" t="n"/>
      <c r="B36" s="84" t="n"/>
      <c r="C36" s="84" t="n"/>
      <c r="D36" s="84" t="n"/>
      <c r="E36" s="84" t="n"/>
      <c r="F36" s="84" t="n"/>
      <c r="G36" s="130" t="n"/>
      <c r="H36" s="130" t="n"/>
      <c r="I36" s="84" t="n"/>
      <c r="J36" s="84" t="n"/>
      <c r="K36" s="84" t="n"/>
      <c r="L36" s="84" t="n"/>
      <c r="M36" s="84" t="n"/>
      <c r="N36" s="84">
        <f>IF('Raw Import'!K36="","",'Raw Import'!K36)</f>
        <v/>
      </c>
      <c r="O36" s="84">
        <f>IF(C36="","",IF(AND('Category Rules'!$B$4="Yes",C36&lt;&gt;"",ISNUMBER(SEARCH('Category Rules'!$E$4,C36))),'Category Rules'!$E$4,IF(AND('Category Rules'!$B$5="Yes",C36&lt;&gt;"",ISNUMBER(SEARCH('Category Rules'!$E$5,C36))),'Category Rules'!$E$5,IF(AND('Category Rules'!$B$6="Yes",C36&lt;&gt;"",ISNUMBER(SEARCH('Category Rules'!$E$6,C36))),'Category Rules'!$E$6,IF(AND('Category Rules'!$B$7="Yes",C36&lt;&gt;"",ISNUMBER(SEARCH('Category Rules'!$E$7,C36))),'Category Rules'!$E$7,IF(AND('Category Rules'!$B$8="Yes",C36&lt;&gt;"",ISNUMBER(SEARCH('Category Rules'!$E$8,C36))),'Category Rules'!$E$8,IF(AND('Category Rules'!$B$9="Yes",C36&lt;&gt;"",ISNUMBER(SEARCH('Category Rules'!$E$9,C36))),'Category Rules'!$E$9,IF(AND('Category Rules'!$B$10="Yes",C36&lt;&gt;"",ISNUMBER(SEARCH('Category Rules'!$E$10,C36))),'Category Rules'!$E$10,IF(AND('Category Rules'!$B$11="Yes",C36&lt;&gt;"",ISNUMBER(SEARCH('Category Rules'!$E$11,C36))),'Category Rules'!$E$11,IF(AND('Category Rules'!$B$12="Yes",C36&lt;&gt;"",ISNUMBER(SEARCH('Category Rules'!$E$12,C36))),'Category Rules'!$E$12,IF(AND('Category Rules'!$B$13="Yes",C36&lt;&gt;"",ISNUMBER(SEARCH('Category Rules'!$E$13,C36))),'Category Rules'!$E$13,IF(AND('Category Rules'!$B$14="Yes",C36&lt;&gt;"",ISNUMBER(SEARCH('Category Rules'!$E$14,C36))),'Category Rules'!$E$14,IF(AND('Category Rules'!$B$15="Yes",C36&lt;&gt;"",ISNUMBER(SEARCH('Category Rules'!$E$15,C36))),'Category Rules'!$E$15,IF(AND('Category Rules'!$B$16="Yes",C36&lt;&gt;"",ISNUMBER(SEARCH('Category Rules'!$E$16,C36))),'Category Rules'!$E$16,IF(AND('Category Rules'!$B$17="Yes",C36&lt;&gt;"",ISNUMBER(SEARCH('Category Rules'!$E$17,C36))),'Category Rules'!$E$17,IF(AND('Category Rules'!$B$18="Yes",C36&lt;&gt;"",ISNUMBER(SEARCH('Category Rules'!$E$18,C36))),'Category Rules'!$E$18,IF(AND('Category Rules'!$B$19="Yes",C36&lt;&gt;"",ISNUMBER(SEARCH('Category Rules'!$E$19,C36))),'Category Rules'!$E$19,"No rule matched")))))))))))))))))</f>
        <v/>
      </c>
      <c r="P36" s="84">
        <f>IF(OR(A36="",B36="",C36="",H36=""),"",TEXT(A36,"yyyymmdd")&amp;"|"&amp;B36&amp;"|"&amp;C36&amp;"|"&amp;TEXT(H36,"0.00"))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>
      <c r="A37" s="129" t="n"/>
      <c r="B37" s="84" t="n"/>
      <c r="C37" s="84" t="n"/>
      <c r="D37" s="84" t="n"/>
      <c r="E37" s="84" t="n"/>
      <c r="F37" s="84" t="n"/>
      <c r="G37" s="130" t="n"/>
      <c r="H37" s="130" t="n"/>
      <c r="I37" s="84" t="n"/>
      <c r="J37" s="84" t="n"/>
      <c r="K37" s="84" t="n"/>
      <c r="L37" s="84" t="n"/>
      <c r="M37" s="84" t="n"/>
      <c r="N37" s="84">
        <f>IF('Raw Import'!K37="","",'Raw Import'!K37)</f>
        <v/>
      </c>
      <c r="O37" s="84">
        <f>IF(C37="","",IF(AND('Category Rules'!$B$4="Yes",C37&lt;&gt;"",ISNUMBER(SEARCH('Category Rules'!$E$4,C37))),'Category Rules'!$E$4,IF(AND('Category Rules'!$B$5="Yes",C37&lt;&gt;"",ISNUMBER(SEARCH('Category Rules'!$E$5,C37))),'Category Rules'!$E$5,IF(AND('Category Rules'!$B$6="Yes",C37&lt;&gt;"",ISNUMBER(SEARCH('Category Rules'!$E$6,C37))),'Category Rules'!$E$6,IF(AND('Category Rules'!$B$7="Yes",C37&lt;&gt;"",ISNUMBER(SEARCH('Category Rules'!$E$7,C37))),'Category Rules'!$E$7,IF(AND('Category Rules'!$B$8="Yes",C37&lt;&gt;"",ISNUMBER(SEARCH('Category Rules'!$E$8,C37))),'Category Rules'!$E$8,IF(AND('Category Rules'!$B$9="Yes",C37&lt;&gt;"",ISNUMBER(SEARCH('Category Rules'!$E$9,C37))),'Category Rules'!$E$9,IF(AND('Category Rules'!$B$10="Yes",C37&lt;&gt;"",ISNUMBER(SEARCH('Category Rules'!$E$10,C37))),'Category Rules'!$E$10,IF(AND('Category Rules'!$B$11="Yes",C37&lt;&gt;"",ISNUMBER(SEARCH('Category Rules'!$E$11,C37))),'Category Rules'!$E$11,IF(AND('Category Rules'!$B$12="Yes",C37&lt;&gt;"",ISNUMBER(SEARCH('Category Rules'!$E$12,C37))),'Category Rules'!$E$12,IF(AND('Category Rules'!$B$13="Yes",C37&lt;&gt;"",ISNUMBER(SEARCH('Category Rules'!$E$13,C37))),'Category Rules'!$E$13,IF(AND('Category Rules'!$B$14="Yes",C37&lt;&gt;"",ISNUMBER(SEARCH('Category Rules'!$E$14,C37))),'Category Rules'!$E$14,IF(AND('Category Rules'!$B$15="Yes",C37&lt;&gt;"",ISNUMBER(SEARCH('Category Rules'!$E$15,C37))),'Category Rules'!$E$15,IF(AND('Category Rules'!$B$16="Yes",C37&lt;&gt;"",ISNUMBER(SEARCH('Category Rules'!$E$16,C37))),'Category Rules'!$E$16,IF(AND('Category Rules'!$B$17="Yes",C37&lt;&gt;"",ISNUMBER(SEARCH('Category Rules'!$E$17,C37))),'Category Rules'!$E$17,IF(AND('Category Rules'!$B$18="Yes",C37&lt;&gt;"",ISNUMBER(SEARCH('Category Rules'!$E$18,C37))),'Category Rules'!$E$18,IF(AND('Category Rules'!$B$19="Yes",C37&lt;&gt;"",ISNUMBER(SEARCH('Category Rules'!$E$19,C37))),'Category Rules'!$E$19,"No rule matched")))))))))))))))))</f>
        <v/>
      </c>
      <c r="P37" s="84">
        <f>IF(OR(A37="",B37="",C37="",H37=""),"",TEXT(A37,"yyyymmdd")&amp;"|"&amp;B37&amp;"|"&amp;C37&amp;"|"&amp;TEXT(H37,"0.00"))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>
      <c r="A38" s="129" t="n"/>
      <c r="B38" s="84" t="n"/>
      <c r="C38" s="84" t="n"/>
      <c r="D38" s="84" t="n"/>
      <c r="E38" s="84" t="n"/>
      <c r="F38" s="84" t="n"/>
      <c r="G38" s="130" t="n"/>
      <c r="H38" s="130" t="n"/>
      <c r="I38" s="84" t="n"/>
      <c r="J38" s="84" t="n"/>
      <c r="K38" s="84" t="n"/>
      <c r="L38" s="84" t="n"/>
      <c r="M38" s="84" t="n"/>
      <c r="N38" s="84">
        <f>IF('Raw Import'!K38="","",'Raw Import'!K38)</f>
        <v/>
      </c>
      <c r="O38" s="84">
        <f>IF(C38="","",IF(AND('Category Rules'!$B$4="Yes",C38&lt;&gt;"",ISNUMBER(SEARCH('Category Rules'!$E$4,C38))),'Category Rules'!$E$4,IF(AND('Category Rules'!$B$5="Yes",C38&lt;&gt;"",ISNUMBER(SEARCH('Category Rules'!$E$5,C38))),'Category Rules'!$E$5,IF(AND('Category Rules'!$B$6="Yes",C38&lt;&gt;"",ISNUMBER(SEARCH('Category Rules'!$E$6,C38))),'Category Rules'!$E$6,IF(AND('Category Rules'!$B$7="Yes",C38&lt;&gt;"",ISNUMBER(SEARCH('Category Rules'!$E$7,C38))),'Category Rules'!$E$7,IF(AND('Category Rules'!$B$8="Yes",C38&lt;&gt;"",ISNUMBER(SEARCH('Category Rules'!$E$8,C38))),'Category Rules'!$E$8,IF(AND('Category Rules'!$B$9="Yes",C38&lt;&gt;"",ISNUMBER(SEARCH('Category Rules'!$E$9,C38))),'Category Rules'!$E$9,IF(AND('Category Rules'!$B$10="Yes",C38&lt;&gt;"",ISNUMBER(SEARCH('Category Rules'!$E$10,C38))),'Category Rules'!$E$10,IF(AND('Category Rules'!$B$11="Yes",C38&lt;&gt;"",ISNUMBER(SEARCH('Category Rules'!$E$11,C38))),'Category Rules'!$E$11,IF(AND('Category Rules'!$B$12="Yes",C38&lt;&gt;"",ISNUMBER(SEARCH('Category Rules'!$E$12,C38))),'Category Rules'!$E$12,IF(AND('Category Rules'!$B$13="Yes",C38&lt;&gt;"",ISNUMBER(SEARCH('Category Rules'!$E$13,C38))),'Category Rules'!$E$13,IF(AND('Category Rules'!$B$14="Yes",C38&lt;&gt;"",ISNUMBER(SEARCH('Category Rules'!$E$14,C38))),'Category Rules'!$E$14,IF(AND('Category Rules'!$B$15="Yes",C38&lt;&gt;"",ISNUMBER(SEARCH('Category Rules'!$E$15,C38))),'Category Rules'!$E$15,IF(AND('Category Rules'!$B$16="Yes",C38&lt;&gt;"",ISNUMBER(SEARCH('Category Rules'!$E$16,C38))),'Category Rules'!$E$16,IF(AND('Category Rules'!$B$17="Yes",C38&lt;&gt;"",ISNUMBER(SEARCH('Category Rules'!$E$17,C38))),'Category Rules'!$E$17,IF(AND('Category Rules'!$B$18="Yes",C38&lt;&gt;"",ISNUMBER(SEARCH('Category Rules'!$E$18,C38))),'Category Rules'!$E$18,IF(AND('Category Rules'!$B$19="Yes",C38&lt;&gt;"",ISNUMBER(SEARCH('Category Rules'!$E$19,C38))),'Category Rules'!$E$19,"No rule matched")))))))))))))))))</f>
        <v/>
      </c>
      <c r="P38" s="84">
        <f>IF(OR(A38="",B38="",C38="",H38=""),"",TEXT(A38,"yyyymmdd")&amp;"|"&amp;B38&amp;"|"&amp;C38&amp;"|"&amp;TEXT(H38,"0.00"))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>
      <c r="A39" s="129" t="n"/>
      <c r="B39" s="84" t="n"/>
      <c r="C39" s="84" t="n"/>
      <c r="D39" s="84" t="n"/>
      <c r="E39" s="84" t="n"/>
      <c r="F39" s="84" t="n"/>
      <c r="G39" s="130" t="n"/>
      <c r="H39" s="130" t="n"/>
      <c r="I39" s="84" t="n"/>
      <c r="J39" s="84" t="n"/>
      <c r="K39" s="84" t="n"/>
      <c r="L39" s="84" t="n"/>
      <c r="M39" s="84" t="n"/>
      <c r="N39" s="84">
        <f>IF('Raw Import'!K39="","",'Raw Import'!K39)</f>
        <v/>
      </c>
      <c r="O39" s="84">
        <f>IF(C39="","",IF(AND('Category Rules'!$B$4="Yes",C39&lt;&gt;"",ISNUMBER(SEARCH('Category Rules'!$E$4,C39))),'Category Rules'!$E$4,IF(AND('Category Rules'!$B$5="Yes",C39&lt;&gt;"",ISNUMBER(SEARCH('Category Rules'!$E$5,C39))),'Category Rules'!$E$5,IF(AND('Category Rules'!$B$6="Yes",C39&lt;&gt;"",ISNUMBER(SEARCH('Category Rules'!$E$6,C39))),'Category Rules'!$E$6,IF(AND('Category Rules'!$B$7="Yes",C39&lt;&gt;"",ISNUMBER(SEARCH('Category Rules'!$E$7,C39))),'Category Rules'!$E$7,IF(AND('Category Rules'!$B$8="Yes",C39&lt;&gt;"",ISNUMBER(SEARCH('Category Rules'!$E$8,C39))),'Category Rules'!$E$8,IF(AND('Category Rules'!$B$9="Yes",C39&lt;&gt;"",ISNUMBER(SEARCH('Category Rules'!$E$9,C39))),'Category Rules'!$E$9,IF(AND('Category Rules'!$B$10="Yes",C39&lt;&gt;"",ISNUMBER(SEARCH('Category Rules'!$E$10,C39))),'Category Rules'!$E$10,IF(AND('Category Rules'!$B$11="Yes",C39&lt;&gt;"",ISNUMBER(SEARCH('Category Rules'!$E$11,C39))),'Category Rules'!$E$11,IF(AND('Category Rules'!$B$12="Yes",C39&lt;&gt;"",ISNUMBER(SEARCH('Category Rules'!$E$12,C39))),'Category Rules'!$E$12,IF(AND('Category Rules'!$B$13="Yes",C39&lt;&gt;"",ISNUMBER(SEARCH('Category Rules'!$E$13,C39))),'Category Rules'!$E$13,IF(AND('Category Rules'!$B$14="Yes",C39&lt;&gt;"",ISNUMBER(SEARCH('Category Rules'!$E$14,C39))),'Category Rules'!$E$14,IF(AND('Category Rules'!$B$15="Yes",C39&lt;&gt;"",ISNUMBER(SEARCH('Category Rules'!$E$15,C39))),'Category Rules'!$E$15,IF(AND('Category Rules'!$B$16="Yes",C39&lt;&gt;"",ISNUMBER(SEARCH('Category Rules'!$E$16,C39))),'Category Rules'!$E$16,IF(AND('Category Rules'!$B$17="Yes",C39&lt;&gt;"",ISNUMBER(SEARCH('Category Rules'!$E$17,C39))),'Category Rules'!$E$17,IF(AND('Category Rules'!$B$18="Yes",C39&lt;&gt;"",ISNUMBER(SEARCH('Category Rules'!$E$18,C39))),'Category Rules'!$E$18,IF(AND('Category Rules'!$B$19="Yes",C39&lt;&gt;"",ISNUMBER(SEARCH('Category Rules'!$E$19,C39))),'Category Rules'!$E$19,"No rule matched")))))))))))))))))</f>
        <v/>
      </c>
      <c r="P39" s="84">
        <f>IF(OR(A39="",B39="",C39="",H39=""),"",TEXT(A39,"yyyymmdd")&amp;"|"&amp;B39&amp;"|"&amp;C39&amp;"|"&amp;TEXT(H39,"0.00"))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>
      <c r="A40" s="129" t="n"/>
      <c r="B40" s="84" t="n"/>
      <c r="C40" s="84" t="n"/>
      <c r="D40" s="84" t="n"/>
      <c r="E40" s="84" t="n"/>
      <c r="F40" s="84" t="n"/>
      <c r="G40" s="130" t="n"/>
      <c r="H40" s="130" t="n"/>
      <c r="I40" s="84" t="n"/>
      <c r="J40" s="84" t="n"/>
      <c r="K40" s="84" t="n"/>
      <c r="L40" s="84" t="n"/>
      <c r="M40" s="84" t="n"/>
      <c r="N40" s="84">
        <f>IF('Raw Import'!K40="","",'Raw Import'!K40)</f>
        <v/>
      </c>
      <c r="O40" s="84">
        <f>IF(C40="","",IF(AND('Category Rules'!$B$4="Yes",C40&lt;&gt;"",ISNUMBER(SEARCH('Category Rules'!$E$4,C40))),'Category Rules'!$E$4,IF(AND('Category Rules'!$B$5="Yes",C40&lt;&gt;"",ISNUMBER(SEARCH('Category Rules'!$E$5,C40))),'Category Rules'!$E$5,IF(AND('Category Rules'!$B$6="Yes",C40&lt;&gt;"",ISNUMBER(SEARCH('Category Rules'!$E$6,C40))),'Category Rules'!$E$6,IF(AND('Category Rules'!$B$7="Yes",C40&lt;&gt;"",ISNUMBER(SEARCH('Category Rules'!$E$7,C40))),'Category Rules'!$E$7,IF(AND('Category Rules'!$B$8="Yes",C40&lt;&gt;"",ISNUMBER(SEARCH('Category Rules'!$E$8,C40))),'Category Rules'!$E$8,IF(AND('Category Rules'!$B$9="Yes",C40&lt;&gt;"",ISNUMBER(SEARCH('Category Rules'!$E$9,C40))),'Category Rules'!$E$9,IF(AND('Category Rules'!$B$10="Yes",C40&lt;&gt;"",ISNUMBER(SEARCH('Category Rules'!$E$10,C40))),'Category Rules'!$E$10,IF(AND('Category Rules'!$B$11="Yes",C40&lt;&gt;"",ISNUMBER(SEARCH('Category Rules'!$E$11,C40))),'Category Rules'!$E$11,IF(AND('Category Rules'!$B$12="Yes",C40&lt;&gt;"",ISNUMBER(SEARCH('Category Rules'!$E$12,C40))),'Category Rules'!$E$12,IF(AND('Category Rules'!$B$13="Yes",C40&lt;&gt;"",ISNUMBER(SEARCH('Category Rules'!$E$13,C40))),'Category Rules'!$E$13,IF(AND('Category Rules'!$B$14="Yes",C40&lt;&gt;"",ISNUMBER(SEARCH('Category Rules'!$E$14,C40))),'Category Rules'!$E$14,IF(AND('Category Rules'!$B$15="Yes",C40&lt;&gt;"",ISNUMBER(SEARCH('Category Rules'!$E$15,C40))),'Category Rules'!$E$15,IF(AND('Category Rules'!$B$16="Yes",C40&lt;&gt;"",ISNUMBER(SEARCH('Category Rules'!$E$16,C40))),'Category Rules'!$E$16,IF(AND('Category Rules'!$B$17="Yes",C40&lt;&gt;"",ISNUMBER(SEARCH('Category Rules'!$E$17,C40))),'Category Rules'!$E$17,IF(AND('Category Rules'!$B$18="Yes",C40&lt;&gt;"",ISNUMBER(SEARCH('Category Rules'!$E$18,C40))),'Category Rules'!$E$18,IF(AND('Category Rules'!$B$19="Yes",C40&lt;&gt;"",ISNUMBER(SEARCH('Category Rules'!$E$19,C40))),'Category Rules'!$E$19,"No rule matched")))))))))))))))))</f>
        <v/>
      </c>
      <c r="P40" s="84">
        <f>IF(OR(A40="",B40="",C40="",H40=""),"",TEXT(A40,"yyyymmdd")&amp;"|"&amp;B40&amp;"|"&amp;C40&amp;"|"&amp;TEXT(H40,"0.00"))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>
      <c r="A41" s="129" t="n"/>
      <c r="B41" s="84" t="n"/>
      <c r="C41" s="84" t="n"/>
      <c r="D41" s="84" t="n"/>
      <c r="E41" s="84" t="n"/>
      <c r="F41" s="84" t="n"/>
      <c r="G41" s="130" t="n"/>
      <c r="H41" s="130" t="n"/>
      <c r="I41" s="84" t="n"/>
      <c r="J41" s="84" t="n"/>
      <c r="K41" s="84" t="n"/>
      <c r="L41" s="84" t="n"/>
      <c r="M41" s="84" t="n"/>
      <c r="N41" s="84">
        <f>IF('Raw Import'!K41="","",'Raw Import'!K41)</f>
        <v/>
      </c>
      <c r="O41" s="84">
        <f>IF(C41="","",IF(AND('Category Rules'!$B$4="Yes",C41&lt;&gt;"",ISNUMBER(SEARCH('Category Rules'!$E$4,C41))),'Category Rules'!$E$4,IF(AND('Category Rules'!$B$5="Yes",C41&lt;&gt;"",ISNUMBER(SEARCH('Category Rules'!$E$5,C41))),'Category Rules'!$E$5,IF(AND('Category Rules'!$B$6="Yes",C41&lt;&gt;"",ISNUMBER(SEARCH('Category Rules'!$E$6,C41))),'Category Rules'!$E$6,IF(AND('Category Rules'!$B$7="Yes",C41&lt;&gt;"",ISNUMBER(SEARCH('Category Rules'!$E$7,C41))),'Category Rules'!$E$7,IF(AND('Category Rules'!$B$8="Yes",C41&lt;&gt;"",ISNUMBER(SEARCH('Category Rules'!$E$8,C41))),'Category Rules'!$E$8,IF(AND('Category Rules'!$B$9="Yes",C41&lt;&gt;"",ISNUMBER(SEARCH('Category Rules'!$E$9,C41))),'Category Rules'!$E$9,IF(AND('Category Rules'!$B$10="Yes",C41&lt;&gt;"",ISNUMBER(SEARCH('Category Rules'!$E$10,C41))),'Category Rules'!$E$10,IF(AND('Category Rules'!$B$11="Yes",C41&lt;&gt;"",ISNUMBER(SEARCH('Category Rules'!$E$11,C41))),'Category Rules'!$E$11,IF(AND('Category Rules'!$B$12="Yes",C41&lt;&gt;"",ISNUMBER(SEARCH('Category Rules'!$E$12,C41))),'Category Rules'!$E$12,IF(AND('Category Rules'!$B$13="Yes",C41&lt;&gt;"",ISNUMBER(SEARCH('Category Rules'!$E$13,C41))),'Category Rules'!$E$13,IF(AND('Category Rules'!$B$14="Yes",C41&lt;&gt;"",ISNUMBER(SEARCH('Category Rules'!$E$14,C41))),'Category Rules'!$E$14,IF(AND('Category Rules'!$B$15="Yes",C41&lt;&gt;"",ISNUMBER(SEARCH('Category Rules'!$E$15,C41))),'Category Rules'!$E$15,IF(AND('Category Rules'!$B$16="Yes",C41&lt;&gt;"",ISNUMBER(SEARCH('Category Rules'!$E$16,C41))),'Category Rules'!$E$16,IF(AND('Category Rules'!$B$17="Yes",C41&lt;&gt;"",ISNUMBER(SEARCH('Category Rules'!$E$17,C41))),'Category Rules'!$E$17,IF(AND('Category Rules'!$B$18="Yes",C41&lt;&gt;"",ISNUMBER(SEARCH('Category Rules'!$E$18,C41))),'Category Rules'!$E$18,IF(AND('Category Rules'!$B$19="Yes",C41&lt;&gt;"",ISNUMBER(SEARCH('Category Rules'!$E$19,C41))),'Category Rules'!$E$19,"No rule matched")))))))))))))))))</f>
        <v/>
      </c>
      <c r="P41" s="84">
        <f>IF(OR(A41="",B41="",C41="",H41=""),"",TEXT(A41,"yyyymmdd")&amp;"|"&amp;B41&amp;"|"&amp;C41&amp;"|"&amp;TEXT(H41,"0.00"))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>
      <c r="A42" s="129" t="n"/>
      <c r="B42" s="84" t="n"/>
      <c r="C42" s="84" t="n"/>
      <c r="D42" s="84" t="n"/>
      <c r="E42" s="84" t="n"/>
      <c r="F42" s="84" t="n"/>
      <c r="G42" s="130" t="n"/>
      <c r="H42" s="130" t="n"/>
      <c r="I42" s="84" t="n"/>
      <c r="J42" s="84" t="n"/>
      <c r="K42" s="84" t="n"/>
      <c r="L42" s="84" t="n"/>
      <c r="M42" s="84" t="n"/>
      <c r="N42" s="84">
        <f>IF('Raw Import'!K42="","",'Raw Import'!K42)</f>
        <v/>
      </c>
      <c r="O42" s="84">
        <f>IF(C42="","",IF(AND('Category Rules'!$B$4="Yes",C42&lt;&gt;"",ISNUMBER(SEARCH('Category Rules'!$E$4,C42))),'Category Rules'!$E$4,IF(AND('Category Rules'!$B$5="Yes",C42&lt;&gt;"",ISNUMBER(SEARCH('Category Rules'!$E$5,C42))),'Category Rules'!$E$5,IF(AND('Category Rules'!$B$6="Yes",C42&lt;&gt;"",ISNUMBER(SEARCH('Category Rules'!$E$6,C42))),'Category Rules'!$E$6,IF(AND('Category Rules'!$B$7="Yes",C42&lt;&gt;"",ISNUMBER(SEARCH('Category Rules'!$E$7,C42))),'Category Rules'!$E$7,IF(AND('Category Rules'!$B$8="Yes",C42&lt;&gt;"",ISNUMBER(SEARCH('Category Rules'!$E$8,C42))),'Category Rules'!$E$8,IF(AND('Category Rules'!$B$9="Yes",C42&lt;&gt;"",ISNUMBER(SEARCH('Category Rules'!$E$9,C42))),'Category Rules'!$E$9,IF(AND('Category Rules'!$B$10="Yes",C42&lt;&gt;"",ISNUMBER(SEARCH('Category Rules'!$E$10,C42))),'Category Rules'!$E$10,IF(AND('Category Rules'!$B$11="Yes",C42&lt;&gt;"",ISNUMBER(SEARCH('Category Rules'!$E$11,C42))),'Category Rules'!$E$11,IF(AND('Category Rules'!$B$12="Yes",C42&lt;&gt;"",ISNUMBER(SEARCH('Category Rules'!$E$12,C42))),'Category Rules'!$E$12,IF(AND('Category Rules'!$B$13="Yes",C42&lt;&gt;"",ISNUMBER(SEARCH('Category Rules'!$E$13,C42))),'Category Rules'!$E$13,IF(AND('Category Rules'!$B$14="Yes",C42&lt;&gt;"",ISNUMBER(SEARCH('Category Rules'!$E$14,C42))),'Category Rules'!$E$14,IF(AND('Category Rules'!$B$15="Yes",C42&lt;&gt;"",ISNUMBER(SEARCH('Category Rules'!$E$15,C42))),'Category Rules'!$E$15,IF(AND('Category Rules'!$B$16="Yes",C42&lt;&gt;"",ISNUMBER(SEARCH('Category Rules'!$E$16,C42))),'Category Rules'!$E$16,IF(AND('Category Rules'!$B$17="Yes",C42&lt;&gt;"",ISNUMBER(SEARCH('Category Rules'!$E$17,C42))),'Category Rules'!$E$17,IF(AND('Category Rules'!$B$18="Yes",C42&lt;&gt;"",ISNUMBER(SEARCH('Category Rules'!$E$18,C42))),'Category Rules'!$E$18,IF(AND('Category Rules'!$B$19="Yes",C42&lt;&gt;"",ISNUMBER(SEARCH('Category Rules'!$E$19,C42))),'Category Rules'!$E$19,"No rule matched")))))))))))))))))</f>
        <v/>
      </c>
      <c r="P42" s="84">
        <f>IF(OR(A42="",B42="",C42="",H42=""),"",TEXT(A42,"yyyymmdd")&amp;"|"&amp;B42&amp;"|"&amp;C42&amp;"|"&amp;TEXT(H42,"0.00"))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129" t="n"/>
      <c r="B43" s="84" t="n"/>
      <c r="C43" s="84" t="n"/>
      <c r="D43" s="84" t="n"/>
      <c r="E43" s="84" t="n"/>
      <c r="F43" s="84" t="n"/>
      <c r="G43" s="130" t="n"/>
      <c r="H43" s="130" t="n"/>
      <c r="I43" s="84" t="n"/>
      <c r="J43" s="84" t="n"/>
      <c r="K43" s="84" t="n"/>
      <c r="L43" s="84" t="n"/>
      <c r="M43" s="84" t="n"/>
      <c r="N43" s="84">
        <f>IF('Raw Import'!K43="","",'Raw Import'!K43)</f>
        <v/>
      </c>
      <c r="O43" s="84">
        <f>IF(C43="","",IF(AND('Category Rules'!$B$4="Yes",C43&lt;&gt;"",ISNUMBER(SEARCH('Category Rules'!$E$4,C43))),'Category Rules'!$E$4,IF(AND('Category Rules'!$B$5="Yes",C43&lt;&gt;"",ISNUMBER(SEARCH('Category Rules'!$E$5,C43))),'Category Rules'!$E$5,IF(AND('Category Rules'!$B$6="Yes",C43&lt;&gt;"",ISNUMBER(SEARCH('Category Rules'!$E$6,C43))),'Category Rules'!$E$6,IF(AND('Category Rules'!$B$7="Yes",C43&lt;&gt;"",ISNUMBER(SEARCH('Category Rules'!$E$7,C43))),'Category Rules'!$E$7,IF(AND('Category Rules'!$B$8="Yes",C43&lt;&gt;"",ISNUMBER(SEARCH('Category Rules'!$E$8,C43))),'Category Rules'!$E$8,IF(AND('Category Rules'!$B$9="Yes",C43&lt;&gt;"",ISNUMBER(SEARCH('Category Rules'!$E$9,C43))),'Category Rules'!$E$9,IF(AND('Category Rules'!$B$10="Yes",C43&lt;&gt;"",ISNUMBER(SEARCH('Category Rules'!$E$10,C43))),'Category Rules'!$E$10,IF(AND('Category Rules'!$B$11="Yes",C43&lt;&gt;"",ISNUMBER(SEARCH('Category Rules'!$E$11,C43))),'Category Rules'!$E$11,IF(AND('Category Rules'!$B$12="Yes",C43&lt;&gt;"",ISNUMBER(SEARCH('Category Rules'!$E$12,C43))),'Category Rules'!$E$12,IF(AND('Category Rules'!$B$13="Yes",C43&lt;&gt;"",ISNUMBER(SEARCH('Category Rules'!$E$13,C43))),'Category Rules'!$E$13,IF(AND('Category Rules'!$B$14="Yes",C43&lt;&gt;"",ISNUMBER(SEARCH('Category Rules'!$E$14,C43))),'Category Rules'!$E$14,IF(AND('Category Rules'!$B$15="Yes",C43&lt;&gt;"",ISNUMBER(SEARCH('Category Rules'!$E$15,C43))),'Category Rules'!$E$15,IF(AND('Category Rules'!$B$16="Yes",C43&lt;&gt;"",ISNUMBER(SEARCH('Category Rules'!$E$16,C43))),'Category Rules'!$E$16,IF(AND('Category Rules'!$B$17="Yes",C43&lt;&gt;"",ISNUMBER(SEARCH('Category Rules'!$E$17,C43))),'Category Rules'!$E$17,IF(AND('Category Rules'!$B$18="Yes",C43&lt;&gt;"",ISNUMBER(SEARCH('Category Rules'!$E$18,C43))),'Category Rules'!$E$18,IF(AND('Category Rules'!$B$19="Yes",C43&lt;&gt;"",ISNUMBER(SEARCH('Category Rules'!$E$19,C43))),'Category Rules'!$E$19,"No rule matched")))))))))))))))))</f>
        <v/>
      </c>
      <c r="P43" s="84">
        <f>IF(OR(A43="",B43="",C43="",H43=""),"",TEXT(A43,"yyyymmdd")&amp;"|"&amp;B43&amp;"|"&amp;C43&amp;"|"&amp;TEXT(H43,"0.00"))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>
      <c r="A44" s="129" t="n"/>
      <c r="B44" s="84" t="n"/>
      <c r="C44" s="84" t="n"/>
      <c r="D44" s="84" t="n"/>
      <c r="E44" s="84" t="n"/>
      <c r="F44" s="84" t="n"/>
      <c r="G44" s="130" t="n"/>
      <c r="H44" s="130" t="n"/>
      <c r="I44" s="84" t="n"/>
      <c r="J44" s="84" t="n"/>
      <c r="K44" s="84" t="n"/>
      <c r="L44" s="84" t="n"/>
      <c r="M44" s="84" t="n"/>
      <c r="N44" s="84">
        <f>IF('Raw Import'!K44="","",'Raw Import'!K44)</f>
        <v/>
      </c>
      <c r="O44" s="84">
        <f>IF(C44="","",IF(AND('Category Rules'!$B$4="Yes",C44&lt;&gt;"",ISNUMBER(SEARCH('Category Rules'!$E$4,C44))),'Category Rules'!$E$4,IF(AND('Category Rules'!$B$5="Yes",C44&lt;&gt;"",ISNUMBER(SEARCH('Category Rules'!$E$5,C44))),'Category Rules'!$E$5,IF(AND('Category Rules'!$B$6="Yes",C44&lt;&gt;"",ISNUMBER(SEARCH('Category Rules'!$E$6,C44))),'Category Rules'!$E$6,IF(AND('Category Rules'!$B$7="Yes",C44&lt;&gt;"",ISNUMBER(SEARCH('Category Rules'!$E$7,C44))),'Category Rules'!$E$7,IF(AND('Category Rules'!$B$8="Yes",C44&lt;&gt;"",ISNUMBER(SEARCH('Category Rules'!$E$8,C44))),'Category Rules'!$E$8,IF(AND('Category Rules'!$B$9="Yes",C44&lt;&gt;"",ISNUMBER(SEARCH('Category Rules'!$E$9,C44))),'Category Rules'!$E$9,IF(AND('Category Rules'!$B$10="Yes",C44&lt;&gt;"",ISNUMBER(SEARCH('Category Rules'!$E$10,C44))),'Category Rules'!$E$10,IF(AND('Category Rules'!$B$11="Yes",C44&lt;&gt;"",ISNUMBER(SEARCH('Category Rules'!$E$11,C44))),'Category Rules'!$E$11,IF(AND('Category Rules'!$B$12="Yes",C44&lt;&gt;"",ISNUMBER(SEARCH('Category Rules'!$E$12,C44))),'Category Rules'!$E$12,IF(AND('Category Rules'!$B$13="Yes",C44&lt;&gt;"",ISNUMBER(SEARCH('Category Rules'!$E$13,C44))),'Category Rules'!$E$13,IF(AND('Category Rules'!$B$14="Yes",C44&lt;&gt;"",ISNUMBER(SEARCH('Category Rules'!$E$14,C44))),'Category Rules'!$E$14,IF(AND('Category Rules'!$B$15="Yes",C44&lt;&gt;"",ISNUMBER(SEARCH('Category Rules'!$E$15,C44))),'Category Rules'!$E$15,IF(AND('Category Rules'!$B$16="Yes",C44&lt;&gt;"",ISNUMBER(SEARCH('Category Rules'!$E$16,C44))),'Category Rules'!$E$16,IF(AND('Category Rules'!$B$17="Yes",C44&lt;&gt;"",ISNUMBER(SEARCH('Category Rules'!$E$17,C44))),'Category Rules'!$E$17,IF(AND('Category Rules'!$B$18="Yes",C44&lt;&gt;"",ISNUMBER(SEARCH('Category Rules'!$E$18,C44))),'Category Rules'!$E$18,IF(AND('Category Rules'!$B$19="Yes",C44&lt;&gt;"",ISNUMBER(SEARCH('Category Rules'!$E$19,C44))),'Category Rules'!$E$19,"No rule matched")))))))))))))))))</f>
        <v/>
      </c>
      <c r="P44" s="84">
        <f>IF(OR(A44="",B44="",C44="",H44=""),"",TEXT(A44,"yyyymmdd")&amp;"|"&amp;B44&amp;"|"&amp;C44&amp;"|"&amp;TEXT(H44,"0.00"))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>
      <c r="A45" s="129" t="n"/>
      <c r="B45" s="84" t="n"/>
      <c r="C45" s="84" t="n"/>
      <c r="D45" s="84" t="n"/>
      <c r="E45" s="84" t="n"/>
      <c r="F45" s="84" t="n"/>
      <c r="G45" s="130" t="n"/>
      <c r="H45" s="130" t="n"/>
      <c r="I45" s="84" t="n"/>
      <c r="J45" s="84" t="n"/>
      <c r="K45" s="84" t="n"/>
      <c r="L45" s="84" t="n"/>
      <c r="M45" s="84" t="n"/>
      <c r="N45" s="84">
        <f>IF('Raw Import'!K45="","",'Raw Import'!K45)</f>
        <v/>
      </c>
      <c r="O45" s="84">
        <f>IF(C45="","",IF(AND('Category Rules'!$B$4="Yes",C45&lt;&gt;"",ISNUMBER(SEARCH('Category Rules'!$E$4,C45))),'Category Rules'!$E$4,IF(AND('Category Rules'!$B$5="Yes",C45&lt;&gt;"",ISNUMBER(SEARCH('Category Rules'!$E$5,C45))),'Category Rules'!$E$5,IF(AND('Category Rules'!$B$6="Yes",C45&lt;&gt;"",ISNUMBER(SEARCH('Category Rules'!$E$6,C45))),'Category Rules'!$E$6,IF(AND('Category Rules'!$B$7="Yes",C45&lt;&gt;"",ISNUMBER(SEARCH('Category Rules'!$E$7,C45))),'Category Rules'!$E$7,IF(AND('Category Rules'!$B$8="Yes",C45&lt;&gt;"",ISNUMBER(SEARCH('Category Rules'!$E$8,C45))),'Category Rules'!$E$8,IF(AND('Category Rules'!$B$9="Yes",C45&lt;&gt;"",ISNUMBER(SEARCH('Category Rules'!$E$9,C45))),'Category Rules'!$E$9,IF(AND('Category Rules'!$B$10="Yes",C45&lt;&gt;"",ISNUMBER(SEARCH('Category Rules'!$E$10,C45))),'Category Rules'!$E$10,IF(AND('Category Rules'!$B$11="Yes",C45&lt;&gt;"",ISNUMBER(SEARCH('Category Rules'!$E$11,C45))),'Category Rules'!$E$11,IF(AND('Category Rules'!$B$12="Yes",C45&lt;&gt;"",ISNUMBER(SEARCH('Category Rules'!$E$12,C45))),'Category Rules'!$E$12,IF(AND('Category Rules'!$B$13="Yes",C45&lt;&gt;"",ISNUMBER(SEARCH('Category Rules'!$E$13,C45))),'Category Rules'!$E$13,IF(AND('Category Rules'!$B$14="Yes",C45&lt;&gt;"",ISNUMBER(SEARCH('Category Rules'!$E$14,C45))),'Category Rules'!$E$14,IF(AND('Category Rules'!$B$15="Yes",C45&lt;&gt;"",ISNUMBER(SEARCH('Category Rules'!$E$15,C45))),'Category Rules'!$E$15,IF(AND('Category Rules'!$B$16="Yes",C45&lt;&gt;"",ISNUMBER(SEARCH('Category Rules'!$E$16,C45))),'Category Rules'!$E$16,IF(AND('Category Rules'!$B$17="Yes",C45&lt;&gt;"",ISNUMBER(SEARCH('Category Rules'!$E$17,C45))),'Category Rules'!$E$17,IF(AND('Category Rules'!$B$18="Yes",C45&lt;&gt;"",ISNUMBER(SEARCH('Category Rules'!$E$18,C45))),'Category Rules'!$E$18,IF(AND('Category Rules'!$B$19="Yes",C45&lt;&gt;"",ISNUMBER(SEARCH('Category Rules'!$E$19,C45))),'Category Rules'!$E$19,"No rule matched")))))))))))))))))</f>
        <v/>
      </c>
      <c r="P45" s="84">
        <f>IF(OR(A45="",B45="",C45="",H45=""),"",TEXT(A45,"yyyymmdd")&amp;"|"&amp;B45&amp;"|"&amp;C45&amp;"|"&amp;TEXT(H45,"0.00"))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>
      <c r="A46" s="129" t="n"/>
      <c r="B46" s="84" t="n"/>
      <c r="C46" s="84" t="n"/>
      <c r="D46" s="84" t="n"/>
      <c r="E46" s="84" t="n"/>
      <c r="F46" s="84" t="n"/>
      <c r="G46" s="130" t="n"/>
      <c r="H46" s="130" t="n"/>
      <c r="I46" s="84" t="n"/>
      <c r="J46" s="84" t="n"/>
      <c r="K46" s="84" t="n"/>
      <c r="L46" s="84" t="n"/>
      <c r="M46" s="84" t="n"/>
      <c r="N46" s="84">
        <f>IF('Raw Import'!K46="","",'Raw Import'!K46)</f>
        <v/>
      </c>
      <c r="O46" s="84">
        <f>IF(C46="","",IF(AND('Category Rules'!$B$4="Yes",C46&lt;&gt;"",ISNUMBER(SEARCH('Category Rules'!$E$4,C46))),'Category Rules'!$E$4,IF(AND('Category Rules'!$B$5="Yes",C46&lt;&gt;"",ISNUMBER(SEARCH('Category Rules'!$E$5,C46))),'Category Rules'!$E$5,IF(AND('Category Rules'!$B$6="Yes",C46&lt;&gt;"",ISNUMBER(SEARCH('Category Rules'!$E$6,C46))),'Category Rules'!$E$6,IF(AND('Category Rules'!$B$7="Yes",C46&lt;&gt;"",ISNUMBER(SEARCH('Category Rules'!$E$7,C46))),'Category Rules'!$E$7,IF(AND('Category Rules'!$B$8="Yes",C46&lt;&gt;"",ISNUMBER(SEARCH('Category Rules'!$E$8,C46))),'Category Rules'!$E$8,IF(AND('Category Rules'!$B$9="Yes",C46&lt;&gt;"",ISNUMBER(SEARCH('Category Rules'!$E$9,C46))),'Category Rules'!$E$9,IF(AND('Category Rules'!$B$10="Yes",C46&lt;&gt;"",ISNUMBER(SEARCH('Category Rules'!$E$10,C46))),'Category Rules'!$E$10,IF(AND('Category Rules'!$B$11="Yes",C46&lt;&gt;"",ISNUMBER(SEARCH('Category Rules'!$E$11,C46))),'Category Rules'!$E$11,IF(AND('Category Rules'!$B$12="Yes",C46&lt;&gt;"",ISNUMBER(SEARCH('Category Rules'!$E$12,C46))),'Category Rules'!$E$12,IF(AND('Category Rules'!$B$13="Yes",C46&lt;&gt;"",ISNUMBER(SEARCH('Category Rules'!$E$13,C46))),'Category Rules'!$E$13,IF(AND('Category Rules'!$B$14="Yes",C46&lt;&gt;"",ISNUMBER(SEARCH('Category Rules'!$E$14,C46))),'Category Rules'!$E$14,IF(AND('Category Rules'!$B$15="Yes",C46&lt;&gt;"",ISNUMBER(SEARCH('Category Rules'!$E$15,C46))),'Category Rules'!$E$15,IF(AND('Category Rules'!$B$16="Yes",C46&lt;&gt;"",ISNUMBER(SEARCH('Category Rules'!$E$16,C46))),'Category Rules'!$E$16,IF(AND('Category Rules'!$B$17="Yes",C46&lt;&gt;"",ISNUMBER(SEARCH('Category Rules'!$E$17,C46))),'Category Rules'!$E$17,IF(AND('Category Rules'!$B$18="Yes",C46&lt;&gt;"",ISNUMBER(SEARCH('Category Rules'!$E$18,C46))),'Category Rules'!$E$18,IF(AND('Category Rules'!$B$19="Yes",C46&lt;&gt;"",ISNUMBER(SEARCH('Category Rules'!$E$19,C46))),'Category Rules'!$E$19,"No rule matched")))))))))))))))))</f>
        <v/>
      </c>
      <c r="P46" s="84">
        <f>IF(OR(A46="",B46="",C46="",H46=""),"",TEXT(A46,"yyyymmdd")&amp;"|"&amp;B46&amp;"|"&amp;C46&amp;"|"&amp;TEXT(H46,"0.00"))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>
      <c r="A47" s="129" t="n"/>
      <c r="B47" s="84" t="n"/>
      <c r="C47" s="84" t="n"/>
      <c r="D47" s="84" t="n"/>
      <c r="E47" s="84" t="n"/>
      <c r="F47" s="84" t="n"/>
      <c r="G47" s="130" t="n"/>
      <c r="H47" s="130" t="n"/>
      <c r="I47" s="84" t="n"/>
      <c r="J47" s="84" t="n"/>
      <c r="K47" s="84" t="n"/>
      <c r="L47" s="84" t="n"/>
      <c r="M47" s="84" t="n"/>
      <c r="N47" s="84">
        <f>IF('Raw Import'!K47="","",'Raw Import'!K47)</f>
        <v/>
      </c>
      <c r="O47" s="84">
        <f>IF(C47="","",IF(AND('Category Rules'!$B$4="Yes",C47&lt;&gt;"",ISNUMBER(SEARCH('Category Rules'!$E$4,C47))),'Category Rules'!$E$4,IF(AND('Category Rules'!$B$5="Yes",C47&lt;&gt;"",ISNUMBER(SEARCH('Category Rules'!$E$5,C47))),'Category Rules'!$E$5,IF(AND('Category Rules'!$B$6="Yes",C47&lt;&gt;"",ISNUMBER(SEARCH('Category Rules'!$E$6,C47))),'Category Rules'!$E$6,IF(AND('Category Rules'!$B$7="Yes",C47&lt;&gt;"",ISNUMBER(SEARCH('Category Rules'!$E$7,C47))),'Category Rules'!$E$7,IF(AND('Category Rules'!$B$8="Yes",C47&lt;&gt;"",ISNUMBER(SEARCH('Category Rules'!$E$8,C47))),'Category Rules'!$E$8,IF(AND('Category Rules'!$B$9="Yes",C47&lt;&gt;"",ISNUMBER(SEARCH('Category Rules'!$E$9,C47))),'Category Rules'!$E$9,IF(AND('Category Rules'!$B$10="Yes",C47&lt;&gt;"",ISNUMBER(SEARCH('Category Rules'!$E$10,C47))),'Category Rules'!$E$10,IF(AND('Category Rules'!$B$11="Yes",C47&lt;&gt;"",ISNUMBER(SEARCH('Category Rules'!$E$11,C47))),'Category Rules'!$E$11,IF(AND('Category Rules'!$B$12="Yes",C47&lt;&gt;"",ISNUMBER(SEARCH('Category Rules'!$E$12,C47))),'Category Rules'!$E$12,IF(AND('Category Rules'!$B$13="Yes",C47&lt;&gt;"",ISNUMBER(SEARCH('Category Rules'!$E$13,C47))),'Category Rules'!$E$13,IF(AND('Category Rules'!$B$14="Yes",C47&lt;&gt;"",ISNUMBER(SEARCH('Category Rules'!$E$14,C47))),'Category Rules'!$E$14,IF(AND('Category Rules'!$B$15="Yes",C47&lt;&gt;"",ISNUMBER(SEARCH('Category Rules'!$E$15,C47))),'Category Rules'!$E$15,IF(AND('Category Rules'!$B$16="Yes",C47&lt;&gt;"",ISNUMBER(SEARCH('Category Rules'!$E$16,C47))),'Category Rules'!$E$16,IF(AND('Category Rules'!$B$17="Yes",C47&lt;&gt;"",ISNUMBER(SEARCH('Category Rules'!$E$17,C47))),'Category Rules'!$E$17,IF(AND('Category Rules'!$B$18="Yes",C47&lt;&gt;"",ISNUMBER(SEARCH('Category Rules'!$E$18,C47))),'Category Rules'!$E$18,IF(AND('Category Rules'!$B$19="Yes",C47&lt;&gt;"",ISNUMBER(SEARCH('Category Rules'!$E$19,C47))),'Category Rules'!$E$19,"No rule matched")))))))))))))))))</f>
        <v/>
      </c>
      <c r="P47" s="84">
        <f>IF(OR(A47="",B47="",C47="",H47=""),"",TEXT(A47,"yyyymmdd")&amp;"|"&amp;B47&amp;"|"&amp;C47&amp;"|"&amp;TEXT(H47,"0.00"))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>
      <c r="A48" s="129" t="n"/>
      <c r="B48" s="84" t="n"/>
      <c r="C48" s="84" t="n"/>
      <c r="D48" s="84" t="n"/>
      <c r="E48" s="84" t="n"/>
      <c r="F48" s="84" t="n"/>
      <c r="G48" s="130" t="n"/>
      <c r="H48" s="130" t="n"/>
      <c r="I48" s="84" t="n"/>
      <c r="J48" s="84" t="n"/>
      <c r="K48" s="84" t="n"/>
      <c r="L48" s="84" t="n"/>
      <c r="M48" s="84" t="n"/>
      <c r="N48" s="84">
        <f>IF('Raw Import'!K48="","",'Raw Import'!K48)</f>
        <v/>
      </c>
      <c r="O48" s="84">
        <f>IF(C48="","",IF(AND('Category Rules'!$B$4="Yes",C48&lt;&gt;"",ISNUMBER(SEARCH('Category Rules'!$E$4,C48))),'Category Rules'!$E$4,IF(AND('Category Rules'!$B$5="Yes",C48&lt;&gt;"",ISNUMBER(SEARCH('Category Rules'!$E$5,C48))),'Category Rules'!$E$5,IF(AND('Category Rules'!$B$6="Yes",C48&lt;&gt;"",ISNUMBER(SEARCH('Category Rules'!$E$6,C48))),'Category Rules'!$E$6,IF(AND('Category Rules'!$B$7="Yes",C48&lt;&gt;"",ISNUMBER(SEARCH('Category Rules'!$E$7,C48))),'Category Rules'!$E$7,IF(AND('Category Rules'!$B$8="Yes",C48&lt;&gt;"",ISNUMBER(SEARCH('Category Rules'!$E$8,C48))),'Category Rules'!$E$8,IF(AND('Category Rules'!$B$9="Yes",C48&lt;&gt;"",ISNUMBER(SEARCH('Category Rules'!$E$9,C48))),'Category Rules'!$E$9,IF(AND('Category Rules'!$B$10="Yes",C48&lt;&gt;"",ISNUMBER(SEARCH('Category Rules'!$E$10,C48))),'Category Rules'!$E$10,IF(AND('Category Rules'!$B$11="Yes",C48&lt;&gt;"",ISNUMBER(SEARCH('Category Rules'!$E$11,C48))),'Category Rules'!$E$11,IF(AND('Category Rules'!$B$12="Yes",C48&lt;&gt;"",ISNUMBER(SEARCH('Category Rules'!$E$12,C48))),'Category Rules'!$E$12,IF(AND('Category Rules'!$B$13="Yes",C48&lt;&gt;"",ISNUMBER(SEARCH('Category Rules'!$E$13,C48))),'Category Rules'!$E$13,IF(AND('Category Rules'!$B$14="Yes",C48&lt;&gt;"",ISNUMBER(SEARCH('Category Rules'!$E$14,C48))),'Category Rules'!$E$14,IF(AND('Category Rules'!$B$15="Yes",C48&lt;&gt;"",ISNUMBER(SEARCH('Category Rules'!$E$15,C48))),'Category Rules'!$E$15,IF(AND('Category Rules'!$B$16="Yes",C48&lt;&gt;"",ISNUMBER(SEARCH('Category Rules'!$E$16,C48))),'Category Rules'!$E$16,IF(AND('Category Rules'!$B$17="Yes",C48&lt;&gt;"",ISNUMBER(SEARCH('Category Rules'!$E$17,C48))),'Category Rules'!$E$17,IF(AND('Category Rules'!$B$18="Yes",C48&lt;&gt;"",ISNUMBER(SEARCH('Category Rules'!$E$18,C48))),'Category Rules'!$E$18,IF(AND('Category Rules'!$B$19="Yes",C48&lt;&gt;"",ISNUMBER(SEARCH('Category Rules'!$E$19,C48))),'Category Rules'!$E$19,"No rule matched")))))))))))))))))</f>
        <v/>
      </c>
      <c r="P48" s="84">
        <f>IF(OR(A48="",B48="",C48="",H48=""),"",TEXT(A48,"yyyymmdd")&amp;"|"&amp;B48&amp;"|"&amp;C48&amp;"|"&amp;TEXT(H48,"0.00"))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>
      <c r="A49" s="129" t="n"/>
      <c r="B49" s="84" t="n"/>
      <c r="C49" s="84" t="n"/>
      <c r="D49" s="84" t="n"/>
      <c r="E49" s="84" t="n"/>
      <c r="F49" s="84" t="n"/>
      <c r="G49" s="130" t="n"/>
      <c r="H49" s="130" t="n"/>
      <c r="I49" s="84" t="n"/>
      <c r="J49" s="84" t="n"/>
      <c r="K49" s="84" t="n"/>
      <c r="L49" s="84" t="n"/>
      <c r="M49" s="84" t="n"/>
      <c r="N49" s="84">
        <f>IF('Raw Import'!K49="","",'Raw Import'!K49)</f>
        <v/>
      </c>
      <c r="O49" s="84">
        <f>IF(C49="","",IF(AND('Category Rules'!$B$4="Yes",C49&lt;&gt;"",ISNUMBER(SEARCH('Category Rules'!$E$4,C49))),'Category Rules'!$E$4,IF(AND('Category Rules'!$B$5="Yes",C49&lt;&gt;"",ISNUMBER(SEARCH('Category Rules'!$E$5,C49))),'Category Rules'!$E$5,IF(AND('Category Rules'!$B$6="Yes",C49&lt;&gt;"",ISNUMBER(SEARCH('Category Rules'!$E$6,C49))),'Category Rules'!$E$6,IF(AND('Category Rules'!$B$7="Yes",C49&lt;&gt;"",ISNUMBER(SEARCH('Category Rules'!$E$7,C49))),'Category Rules'!$E$7,IF(AND('Category Rules'!$B$8="Yes",C49&lt;&gt;"",ISNUMBER(SEARCH('Category Rules'!$E$8,C49))),'Category Rules'!$E$8,IF(AND('Category Rules'!$B$9="Yes",C49&lt;&gt;"",ISNUMBER(SEARCH('Category Rules'!$E$9,C49))),'Category Rules'!$E$9,IF(AND('Category Rules'!$B$10="Yes",C49&lt;&gt;"",ISNUMBER(SEARCH('Category Rules'!$E$10,C49))),'Category Rules'!$E$10,IF(AND('Category Rules'!$B$11="Yes",C49&lt;&gt;"",ISNUMBER(SEARCH('Category Rules'!$E$11,C49))),'Category Rules'!$E$11,IF(AND('Category Rules'!$B$12="Yes",C49&lt;&gt;"",ISNUMBER(SEARCH('Category Rules'!$E$12,C49))),'Category Rules'!$E$12,IF(AND('Category Rules'!$B$13="Yes",C49&lt;&gt;"",ISNUMBER(SEARCH('Category Rules'!$E$13,C49))),'Category Rules'!$E$13,IF(AND('Category Rules'!$B$14="Yes",C49&lt;&gt;"",ISNUMBER(SEARCH('Category Rules'!$E$14,C49))),'Category Rules'!$E$14,IF(AND('Category Rules'!$B$15="Yes",C49&lt;&gt;"",ISNUMBER(SEARCH('Category Rules'!$E$15,C49))),'Category Rules'!$E$15,IF(AND('Category Rules'!$B$16="Yes",C49&lt;&gt;"",ISNUMBER(SEARCH('Category Rules'!$E$16,C49))),'Category Rules'!$E$16,IF(AND('Category Rules'!$B$17="Yes",C49&lt;&gt;"",ISNUMBER(SEARCH('Category Rules'!$E$17,C49))),'Category Rules'!$E$17,IF(AND('Category Rules'!$B$18="Yes",C49&lt;&gt;"",ISNUMBER(SEARCH('Category Rules'!$E$18,C49))),'Category Rules'!$E$18,IF(AND('Category Rules'!$B$19="Yes",C49&lt;&gt;"",ISNUMBER(SEARCH('Category Rules'!$E$19,C49))),'Category Rules'!$E$19,"No rule matched")))))))))))))))))</f>
        <v/>
      </c>
      <c r="P49" s="84">
        <f>IF(OR(A49="",B49="",C49="",H49=""),"",TEXT(A49,"yyyymmdd")&amp;"|"&amp;B49&amp;"|"&amp;C49&amp;"|"&amp;TEXT(H49,"0.00"))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>
      <c r="A50" s="129" t="n"/>
      <c r="B50" s="84" t="n"/>
      <c r="C50" s="84" t="n"/>
      <c r="D50" s="84" t="n"/>
      <c r="E50" s="84" t="n"/>
      <c r="F50" s="84" t="n"/>
      <c r="G50" s="130" t="n"/>
      <c r="H50" s="130" t="n"/>
      <c r="I50" s="84" t="n"/>
      <c r="J50" s="84" t="n"/>
      <c r="K50" s="84" t="n"/>
      <c r="L50" s="84" t="n"/>
      <c r="M50" s="84" t="n"/>
      <c r="N50" s="84">
        <f>IF('Raw Import'!K50="","",'Raw Import'!K50)</f>
        <v/>
      </c>
      <c r="O50" s="84">
        <f>IF(C50="","",IF(AND('Category Rules'!$B$4="Yes",C50&lt;&gt;"",ISNUMBER(SEARCH('Category Rules'!$E$4,C50))),'Category Rules'!$E$4,IF(AND('Category Rules'!$B$5="Yes",C50&lt;&gt;"",ISNUMBER(SEARCH('Category Rules'!$E$5,C50))),'Category Rules'!$E$5,IF(AND('Category Rules'!$B$6="Yes",C50&lt;&gt;"",ISNUMBER(SEARCH('Category Rules'!$E$6,C50))),'Category Rules'!$E$6,IF(AND('Category Rules'!$B$7="Yes",C50&lt;&gt;"",ISNUMBER(SEARCH('Category Rules'!$E$7,C50))),'Category Rules'!$E$7,IF(AND('Category Rules'!$B$8="Yes",C50&lt;&gt;"",ISNUMBER(SEARCH('Category Rules'!$E$8,C50))),'Category Rules'!$E$8,IF(AND('Category Rules'!$B$9="Yes",C50&lt;&gt;"",ISNUMBER(SEARCH('Category Rules'!$E$9,C50))),'Category Rules'!$E$9,IF(AND('Category Rules'!$B$10="Yes",C50&lt;&gt;"",ISNUMBER(SEARCH('Category Rules'!$E$10,C50))),'Category Rules'!$E$10,IF(AND('Category Rules'!$B$11="Yes",C50&lt;&gt;"",ISNUMBER(SEARCH('Category Rules'!$E$11,C50))),'Category Rules'!$E$11,IF(AND('Category Rules'!$B$12="Yes",C50&lt;&gt;"",ISNUMBER(SEARCH('Category Rules'!$E$12,C50))),'Category Rules'!$E$12,IF(AND('Category Rules'!$B$13="Yes",C50&lt;&gt;"",ISNUMBER(SEARCH('Category Rules'!$E$13,C50))),'Category Rules'!$E$13,IF(AND('Category Rules'!$B$14="Yes",C50&lt;&gt;"",ISNUMBER(SEARCH('Category Rules'!$E$14,C50))),'Category Rules'!$E$14,IF(AND('Category Rules'!$B$15="Yes",C50&lt;&gt;"",ISNUMBER(SEARCH('Category Rules'!$E$15,C50))),'Category Rules'!$E$15,IF(AND('Category Rules'!$B$16="Yes",C50&lt;&gt;"",ISNUMBER(SEARCH('Category Rules'!$E$16,C50))),'Category Rules'!$E$16,IF(AND('Category Rules'!$B$17="Yes",C50&lt;&gt;"",ISNUMBER(SEARCH('Category Rules'!$E$17,C50))),'Category Rules'!$E$17,IF(AND('Category Rules'!$B$18="Yes",C50&lt;&gt;"",ISNUMBER(SEARCH('Category Rules'!$E$18,C50))),'Category Rules'!$E$18,IF(AND('Category Rules'!$B$19="Yes",C50&lt;&gt;"",ISNUMBER(SEARCH('Category Rules'!$E$19,C50))),'Category Rules'!$E$19,"No rule matched")))))))))))))))))</f>
        <v/>
      </c>
      <c r="P50" s="84">
        <f>IF(OR(A50="",B50="",C50="",H50=""),"",TEXT(A50,"yyyymmdd")&amp;"|"&amp;B50&amp;"|"&amp;C50&amp;"|"&amp;TEXT(H50,"0.00"))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>
      <c r="A51" s="129" t="n"/>
      <c r="B51" s="84" t="n"/>
      <c r="C51" s="84" t="n"/>
      <c r="D51" s="84" t="n"/>
      <c r="E51" s="84" t="n"/>
      <c r="F51" s="84" t="n"/>
      <c r="G51" s="130" t="n"/>
      <c r="H51" s="130" t="n"/>
      <c r="I51" s="84" t="n"/>
      <c r="J51" s="84" t="n"/>
      <c r="K51" s="84" t="n"/>
      <c r="L51" s="84" t="n"/>
      <c r="M51" s="84" t="n"/>
      <c r="N51" s="84">
        <f>IF('Raw Import'!K51="","",'Raw Import'!K51)</f>
        <v/>
      </c>
      <c r="O51" s="84">
        <f>IF(C51="","",IF(AND('Category Rules'!$B$4="Yes",C51&lt;&gt;"",ISNUMBER(SEARCH('Category Rules'!$E$4,C51))),'Category Rules'!$E$4,IF(AND('Category Rules'!$B$5="Yes",C51&lt;&gt;"",ISNUMBER(SEARCH('Category Rules'!$E$5,C51))),'Category Rules'!$E$5,IF(AND('Category Rules'!$B$6="Yes",C51&lt;&gt;"",ISNUMBER(SEARCH('Category Rules'!$E$6,C51))),'Category Rules'!$E$6,IF(AND('Category Rules'!$B$7="Yes",C51&lt;&gt;"",ISNUMBER(SEARCH('Category Rules'!$E$7,C51))),'Category Rules'!$E$7,IF(AND('Category Rules'!$B$8="Yes",C51&lt;&gt;"",ISNUMBER(SEARCH('Category Rules'!$E$8,C51))),'Category Rules'!$E$8,IF(AND('Category Rules'!$B$9="Yes",C51&lt;&gt;"",ISNUMBER(SEARCH('Category Rules'!$E$9,C51))),'Category Rules'!$E$9,IF(AND('Category Rules'!$B$10="Yes",C51&lt;&gt;"",ISNUMBER(SEARCH('Category Rules'!$E$10,C51))),'Category Rules'!$E$10,IF(AND('Category Rules'!$B$11="Yes",C51&lt;&gt;"",ISNUMBER(SEARCH('Category Rules'!$E$11,C51))),'Category Rules'!$E$11,IF(AND('Category Rules'!$B$12="Yes",C51&lt;&gt;"",ISNUMBER(SEARCH('Category Rules'!$E$12,C51))),'Category Rules'!$E$12,IF(AND('Category Rules'!$B$13="Yes",C51&lt;&gt;"",ISNUMBER(SEARCH('Category Rules'!$E$13,C51))),'Category Rules'!$E$13,IF(AND('Category Rules'!$B$14="Yes",C51&lt;&gt;"",ISNUMBER(SEARCH('Category Rules'!$E$14,C51))),'Category Rules'!$E$14,IF(AND('Category Rules'!$B$15="Yes",C51&lt;&gt;"",ISNUMBER(SEARCH('Category Rules'!$E$15,C51))),'Category Rules'!$E$15,IF(AND('Category Rules'!$B$16="Yes",C51&lt;&gt;"",ISNUMBER(SEARCH('Category Rules'!$E$16,C51))),'Category Rules'!$E$16,IF(AND('Category Rules'!$B$17="Yes",C51&lt;&gt;"",ISNUMBER(SEARCH('Category Rules'!$E$17,C51))),'Category Rules'!$E$17,IF(AND('Category Rules'!$B$18="Yes",C51&lt;&gt;"",ISNUMBER(SEARCH('Category Rules'!$E$18,C51))),'Category Rules'!$E$18,IF(AND('Category Rules'!$B$19="Yes",C51&lt;&gt;"",ISNUMBER(SEARCH('Category Rules'!$E$19,C51))),'Category Rules'!$E$19,"No rule matched")))))))))))))))))</f>
        <v/>
      </c>
      <c r="P51" s="84">
        <f>IF(OR(A51="",B51="",C51="",H51=""),"",TEXT(A51,"yyyymmdd")&amp;"|"&amp;B51&amp;"|"&amp;C51&amp;"|"&amp;TEXT(H51,"0.00"))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>
      <c r="A52" s="129" t="n"/>
      <c r="B52" s="84" t="n"/>
      <c r="C52" s="84" t="n"/>
      <c r="D52" s="84" t="n"/>
      <c r="E52" s="84" t="n"/>
      <c r="F52" s="84" t="n"/>
      <c r="G52" s="130" t="n"/>
      <c r="H52" s="130" t="n"/>
      <c r="I52" s="84" t="n"/>
      <c r="J52" s="84" t="n"/>
      <c r="K52" s="84" t="n"/>
      <c r="L52" s="84" t="n"/>
      <c r="M52" s="84" t="n"/>
      <c r="N52" s="84">
        <f>IF('Raw Import'!K52="","",'Raw Import'!K52)</f>
        <v/>
      </c>
      <c r="O52" s="84">
        <f>IF(C52="","",IF(AND('Category Rules'!$B$4="Yes",C52&lt;&gt;"",ISNUMBER(SEARCH('Category Rules'!$E$4,C52))),'Category Rules'!$E$4,IF(AND('Category Rules'!$B$5="Yes",C52&lt;&gt;"",ISNUMBER(SEARCH('Category Rules'!$E$5,C52))),'Category Rules'!$E$5,IF(AND('Category Rules'!$B$6="Yes",C52&lt;&gt;"",ISNUMBER(SEARCH('Category Rules'!$E$6,C52))),'Category Rules'!$E$6,IF(AND('Category Rules'!$B$7="Yes",C52&lt;&gt;"",ISNUMBER(SEARCH('Category Rules'!$E$7,C52))),'Category Rules'!$E$7,IF(AND('Category Rules'!$B$8="Yes",C52&lt;&gt;"",ISNUMBER(SEARCH('Category Rules'!$E$8,C52))),'Category Rules'!$E$8,IF(AND('Category Rules'!$B$9="Yes",C52&lt;&gt;"",ISNUMBER(SEARCH('Category Rules'!$E$9,C52))),'Category Rules'!$E$9,IF(AND('Category Rules'!$B$10="Yes",C52&lt;&gt;"",ISNUMBER(SEARCH('Category Rules'!$E$10,C52))),'Category Rules'!$E$10,IF(AND('Category Rules'!$B$11="Yes",C52&lt;&gt;"",ISNUMBER(SEARCH('Category Rules'!$E$11,C52))),'Category Rules'!$E$11,IF(AND('Category Rules'!$B$12="Yes",C52&lt;&gt;"",ISNUMBER(SEARCH('Category Rules'!$E$12,C52))),'Category Rules'!$E$12,IF(AND('Category Rules'!$B$13="Yes",C52&lt;&gt;"",ISNUMBER(SEARCH('Category Rules'!$E$13,C52))),'Category Rules'!$E$13,IF(AND('Category Rules'!$B$14="Yes",C52&lt;&gt;"",ISNUMBER(SEARCH('Category Rules'!$E$14,C52))),'Category Rules'!$E$14,IF(AND('Category Rules'!$B$15="Yes",C52&lt;&gt;"",ISNUMBER(SEARCH('Category Rules'!$E$15,C52))),'Category Rules'!$E$15,IF(AND('Category Rules'!$B$16="Yes",C52&lt;&gt;"",ISNUMBER(SEARCH('Category Rules'!$E$16,C52))),'Category Rules'!$E$16,IF(AND('Category Rules'!$B$17="Yes",C52&lt;&gt;"",ISNUMBER(SEARCH('Category Rules'!$E$17,C52))),'Category Rules'!$E$17,IF(AND('Category Rules'!$B$18="Yes",C52&lt;&gt;"",ISNUMBER(SEARCH('Category Rules'!$E$18,C52))),'Category Rules'!$E$18,IF(AND('Category Rules'!$B$19="Yes",C52&lt;&gt;"",ISNUMBER(SEARCH('Category Rules'!$E$19,C52))),'Category Rules'!$E$19,"No rule matched")))))))))))))))))</f>
        <v/>
      </c>
      <c r="P52" s="84">
        <f>IF(OR(A52="",B52="",C52="",H52=""),"",TEXT(A52,"yyyymmdd")&amp;"|"&amp;B52&amp;"|"&amp;C52&amp;"|"&amp;TEXT(H52,"0.00"))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>
      <c r="A53" s="129" t="n"/>
      <c r="B53" s="84" t="n"/>
      <c r="C53" s="84" t="n"/>
      <c r="D53" s="84" t="n"/>
      <c r="E53" s="84" t="n"/>
      <c r="F53" s="84" t="n"/>
      <c r="G53" s="130" t="n"/>
      <c r="H53" s="130" t="n"/>
      <c r="I53" s="84" t="n"/>
      <c r="J53" s="84" t="n"/>
      <c r="K53" s="84" t="n"/>
      <c r="L53" s="84" t="n"/>
      <c r="M53" s="84" t="n"/>
      <c r="N53" s="84">
        <f>IF('Raw Import'!K53="","",'Raw Import'!K53)</f>
        <v/>
      </c>
      <c r="O53" s="84">
        <f>IF(C53="","",IF(AND('Category Rules'!$B$4="Yes",C53&lt;&gt;"",ISNUMBER(SEARCH('Category Rules'!$E$4,C53))),'Category Rules'!$E$4,IF(AND('Category Rules'!$B$5="Yes",C53&lt;&gt;"",ISNUMBER(SEARCH('Category Rules'!$E$5,C53))),'Category Rules'!$E$5,IF(AND('Category Rules'!$B$6="Yes",C53&lt;&gt;"",ISNUMBER(SEARCH('Category Rules'!$E$6,C53))),'Category Rules'!$E$6,IF(AND('Category Rules'!$B$7="Yes",C53&lt;&gt;"",ISNUMBER(SEARCH('Category Rules'!$E$7,C53))),'Category Rules'!$E$7,IF(AND('Category Rules'!$B$8="Yes",C53&lt;&gt;"",ISNUMBER(SEARCH('Category Rules'!$E$8,C53))),'Category Rules'!$E$8,IF(AND('Category Rules'!$B$9="Yes",C53&lt;&gt;"",ISNUMBER(SEARCH('Category Rules'!$E$9,C53))),'Category Rules'!$E$9,IF(AND('Category Rules'!$B$10="Yes",C53&lt;&gt;"",ISNUMBER(SEARCH('Category Rules'!$E$10,C53))),'Category Rules'!$E$10,IF(AND('Category Rules'!$B$11="Yes",C53&lt;&gt;"",ISNUMBER(SEARCH('Category Rules'!$E$11,C53))),'Category Rules'!$E$11,IF(AND('Category Rules'!$B$12="Yes",C53&lt;&gt;"",ISNUMBER(SEARCH('Category Rules'!$E$12,C53))),'Category Rules'!$E$12,IF(AND('Category Rules'!$B$13="Yes",C53&lt;&gt;"",ISNUMBER(SEARCH('Category Rules'!$E$13,C53))),'Category Rules'!$E$13,IF(AND('Category Rules'!$B$14="Yes",C53&lt;&gt;"",ISNUMBER(SEARCH('Category Rules'!$E$14,C53))),'Category Rules'!$E$14,IF(AND('Category Rules'!$B$15="Yes",C53&lt;&gt;"",ISNUMBER(SEARCH('Category Rules'!$E$15,C53))),'Category Rules'!$E$15,IF(AND('Category Rules'!$B$16="Yes",C53&lt;&gt;"",ISNUMBER(SEARCH('Category Rules'!$E$16,C53))),'Category Rules'!$E$16,IF(AND('Category Rules'!$B$17="Yes",C53&lt;&gt;"",ISNUMBER(SEARCH('Category Rules'!$E$17,C53))),'Category Rules'!$E$17,IF(AND('Category Rules'!$B$18="Yes",C53&lt;&gt;"",ISNUMBER(SEARCH('Category Rules'!$E$18,C53))),'Category Rules'!$E$18,IF(AND('Category Rules'!$B$19="Yes",C53&lt;&gt;"",ISNUMBER(SEARCH('Category Rules'!$E$19,C53))),'Category Rules'!$E$19,"No rule matched")))))))))))))))))</f>
        <v/>
      </c>
      <c r="P53" s="84">
        <f>IF(OR(A53="",B53="",C53="",H53=""),"",TEXT(A53,"yyyymmdd")&amp;"|"&amp;B53&amp;"|"&amp;C53&amp;"|"&amp;TEXT(H53,"0.00"))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>
      <c r="A54" s="129" t="n"/>
      <c r="B54" s="84" t="n"/>
      <c r="C54" s="84" t="n"/>
      <c r="D54" s="84" t="n"/>
      <c r="E54" s="84" t="n"/>
      <c r="F54" s="84" t="n"/>
      <c r="G54" s="130" t="n"/>
      <c r="H54" s="130" t="n"/>
      <c r="I54" s="84" t="n"/>
      <c r="J54" s="84" t="n"/>
      <c r="K54" s="84" t="n"/>
      <c r="L54" s="84" t="n"/>
      <c r="M54" s="84" t="n"/>
      <c r="N54" s="84">
        <f>IF('Raw Import'!K54="","",'Raw Import'!K54)</f>
        <v/>
      </c>
      <c r="O54" s="84">
        <f>IF(C54="","",IF(AND('Category Rules'!$B$4="Yes",C54&lt;&gt;"",ISNUMBER(SEARCH('Category Rules'!$E$4,C54))),'Category Rules'!$E$4,IF(AND('Category Rules'!$B$5="Yes",C54&lt;&gt;"",ISNUMBER(SEARCH('Category Rules'!$E$5,C54))),'Category Rules'!$E$5,IF(AND('Category Rules'!$B$6="Yes",C54&lt;&gt;"",ISNUMBER(SEARCH('Category Rules'!$E$6,C54))),'Category Rules'!$E$6,IF(AND('Category Rules'!$B$7="Yes",C54&lt;&gt;"",ISNUMBER(SEARCH('Category Rules'!$E$7,C54))),'Category Rules'!$E$7,IF(AND('Category Rules'!$B$8="Yes",C54&lt;&gt;"",ISNUMBER(SEARCH('Category Rules'!$E$8,C54))),'Category Rules'!$E$8,IF(AND('Category Rules'!$B$9="Yes",C54&lt;&gt;"",ISNUMBER(SEARCH('Category Rules'!$E$9,C54))),'Category Rules'!$E$9,IF(AND('Category Rules'!$B$10="Yes",C54&lt;&gt;"",ISNUMBER(SEARCH('Category Rules'!$E$10,C54))),'Category Rules'!$E$10,IF(AND('Category Rules'!$B$11="Yes",C54&lt;&gt;"",ISNUMBER(SEARCH('Category Rules'!$E$11,C54))),'Category Rules'!$E$11,IF(AND('Category Rules'!$B$12="Yes",C54&lt;&gt;"",ISNUMBER(SEARCH('Category Rules'!$E$12,C54))),'Category Rules'!$E$12,IF(AND('Category Rules'!$B$13="Yes",C54&lt;&gt;"",ISNUMBER(SEARCH('Category Rules'!$E$13,C54))),'Category Rules'!$E$13,IF(AND('Category Rules'!$B$14="Yes",C54&lt;&gt;"",ISNUMBER(SEARCH('Category Rules'!$E$14,C54))),'Category Rules'!$E$14,IF(AND('Category Rules'!$B$15="Yes",C54&lt;&gt;"",ISNUMBER(SEARCH('Category Rules'!$E$15,C54))),'Category Rules'!$E$15,IF(AND('Category Rules'!$B$16="Yes",C54&lt;&gt;"",ISNUMBER(SEARCH('Category Rules'!$E$16,C54))),'Category Rules'!$E$16,IF(AND('Category Rules'!$B$17="Yes",C54&lt;&gt;"",ISNUMBER(SEARCH('Category Rules'!$E$17,C54))),'Category Rules'!$E$17,IF(AND('Category Rules'!$B$18="Yes",C54&lt;&gt;"",ISNUMBER(SEARCH('Category Rules'!$E$18,C54))),'Category Rules'!$E$18,IF(AND('Category Rules'!$B$19="Yes",C54&lt;&gt;"",ISNUMBER(SEARCH('Category Rules'!$E$19,C54))),'Category Rules'!$E$19,"No rule matched")))))))))))))))))</f>
        <v/>
      </c>
      <c r="P54" s="84">
        <f>IF(OR(A54="",B54="",C54="",H54=""),"",TEXT(A54,"yyyymmdd")&amp;"|"&amp;B54&amp;"|"&amp;C54&amp;"|"&amp;TEXT(H54,"0.00"))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>
      <c r="A55" s="129" t="n"/>
      <c r="B55" s="84" t="n"/>
      <c r="C55" s="84" t="n"/>
      <c r="D55" s="84" t="n"/>
      <c r="E55" s="84" t="n"/>
      <c r="F55" s="84" t="n"/>
      <c r="G55" s="130" t="n"/>
      <c r="H55" s="130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 ht="30" customHeight="1" s="36">
      <c r="A56" s="131" t="n"/>
      <c r="B56" s="123" t="n"/>
      <c r="C56" s="123" t="n"/>
      <c r="D56" s="123" t="n"/>
      <c r="E56" s="123" t="n"/>
      <c r="F56" s="123" t="n"/>
      <c r="G56" s="132" t="n"/>
      <c r="H56" s="132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>
      <c r="A57" s="129" t="n"/>
      <c r="B57" s="84" t="n"/>
      <c r="C57" s="84" t="n"/>
      <c r="D57" s="84" t="n"/>
      <c r="E57" s="84" t="n"/>
      <c r="F57" s="84" t="n"/>
      <c r="G57" s="130" t="n"/>
      <c r="H57" s="130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>
      <c r="A58" s="129" t="n"/>
      <c r="B58" s="84" t="n"/>
      <c r="C58" s="84" t="n"/>
      <c r="D58" s="84" t="n"/>
      <c r="E58" s="84" t="n"/>
      <c r="F58" s="84" t="n"/>
      <c r="G58" s="130" t="n"/>
      <c r="H58" s="130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>
      <c r="A59" s="129" t="n"/>
      <c r="B59" s="84" t="n"/>
      <c r="C59" s="84" t="n"/>
      <c r="D59" s="84" t="n"/>
      <c r="E59" s="84" t="n"/>
      <c r="F59" s="84" t="n"/>
      <c r="G59" s="130" t="n"/>
      <c r="H59" s="130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>
      <c r="A60" s="129" t="n"/>
      <c r="B60" s="84" t="n"/>
      <c r="C60" s="84" t="n"/>
      <c r="D60" s="84" t="n"/>
      <c r="E60" s="84" t="n"/>
      <c r="F60" s="84" t="n"/>
      <c r="G60" s="130" t="n"/>
      <c r="H60" s="130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>
      <c r="A61" s="129" t="n"/>
      <c r="B61" s="84" t="n"/>
      <c r="C61" s="84" t="n"/>
      <c r="D61" s="84" t="n"/>
      <c r="E61" s="84" t="n"/>
      <c r="F61" s="84" t="n"/>
      <c r="G61" s="130" t="n"/>
      <c r="H61" s="130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>
      <c r="A62" s="129" t="n"/>
      <c r="B62" s="84" t="n"/>
      <c r="C62" s="84" t="n"/>
      <c r="D62" s="84" t="n"/>
      <c r="E62" s="84" t="n"/>
      <c r="F62" s="84" t="n"/>
      <c r="G62" s="130" t="n"/>
      <c r="H62" s="130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>
      <c r="A63" s="129" t="n"/>
      <c r="B63" s="84" t="n"/>
      <c r="C63" s="84" t="n"/>
      <c r="D63" s="84" t="n"/>
      <c r="E63" s="84" t="n"/>
      <c r="F63" s="84" t="n"/>
      <c r="G63" s="130" t="n"/>
      <c r="H63" s="130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>
      <c r="A64" s="129" t="n"/>
      <c r="B64" s="84" t="n"/>
      <c r="C64" s="84" t="n"/>
      <c r="D64" s="84" t="n"/>
      <c r="E64" s="84" t="n"/>
      <c r="F64" s="84" t="n"/>
      <c r="G64" s="130" t="n"/>
      <c r="H64" s="130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>
      <c r="A65" s="129" t="n"/>
      <c r="B65" s="84" t="n"/>
      <c r="C65" s="84" t="n"/>
      <c r="D65" s="84" t="n"/>
      <c r="E65" s="84" t="n"/>
      <c r="F65" s="84" t="n"/>
      <c r="G65" s="130" t="n"/>
      <c r="H65" s="130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>
      <c r="A66" s="129" t="n"/>
      <c r="B66" s="84" t="n"/>
      <c r="C66" s="84" t="n"/>
      <c r="D66" s="84" t="n"/>
      <c r="E66" s="84" t="n"/>
      <c r="F66" s="84" t="n"/>
      <c r="G66" s="130" t="n"/>
      <c r="H66" s="130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>
      <c r="A67" s="129" t="n"/>
      <c r="B67" s="84" t="n"/>
      <c r="C67" s="84" t="n"/>
      <c r="D67" s="84" t="n"/>
      <c r="E67" s="84" t="n"/>
      <c r="F67" s="84" t="n"/>
      <c r="G67" s="130" t="n"/>
      <c r="H67" s="130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>
      <c r="A68" s="129" t="n"/>
      <c r="B68" s="84" t="n"/>
      <c r="C68" s="84" t="n"/>
      <c r="D68" s="84" t="n"/>
      <c r="E68" s="84" t="n"/>
      <c r="F68" s="84" t="n"/>
      <c r="G68" s="130" t="n"/>
      <c r="H68" s="130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>
      <c r="A69" s="129" t="n"/>
      <c r="B69" s="84" t="n"/>
      <c r="C69" s="84" t="n"/>
      <c r="D69" s="84" t="n"/>
      <c r="E69" s="84" t="n"/>
      <c r="F69" s="84" t="n"/>
      <c r="G69" s="130" t="n"/>
      <c r="H69" s="130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>
      <c r="A70" s="129" t="n"/>
      <c r="B70" s="84" t="n"/>
      <c r="C70" s="84" t="n"/>
      <c r="D70" s="84" t="n"/>
      <c r="E70" s="84" t="n"/>
      <c r="F70" s="84" t="n"/>
      <c r="G70" s="130" t="n"/>
      <c r="H70" s="130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>
      <c r="A71" s="129" t="n"/>
      <c r="B71" s="84" t="n"/>
      <c r="C71" s="84" t="n"/>
      <c r="D71" s="84" t="n"/>
      <c r="E71" s="84" t="n"/>
      <c r="F71" s="84" t="n"/>
      <c r="G71" s="130" t="n"/>
      <c r="H71" s="130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>
      <c r="A72" s="129" t="n"/>
      <c r="B72" s="84" t="n"/>
      <c r="C72" s="84" t="n"/>
      <c r="D72" s="84" t="n"/>
      <c r="E72" s="84" t="n"/>
      <c r="F72" s="84" t="n"/>
      <c r="G72" s="130" t="n"/>
      <c r="H72" s="130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>
      <c r="A73" s="129" t="n"/>
      <c r="B73" s="84" t="n"/>
      <c r="C73" s="84" t="n"/>
      <c r="D73" s="84" t="n"/>
      <c r="E73" s="84" t="n"/>
      <c r="F73" s="84" t="n"/>
      <c r="G73" s="130" t="n"/>
      <c r="H73" s="130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>
      <c r="A74" s="129" t="n"/>
      <c r="B74" s="84" t="n"/>
      <c r="C74" s="84" t="n"/>
      <c r="D74" s="84" t="n"/>
      <c r="E74" s="84" t="n"/>
      <c r="F74" s="84" t="n"/>
      <c r="G74" s="130" t="n"/>
      <c r="H74" s="130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>
      <c r="A75" s="129" t="n"/>
      <c r="B75" s="84" t="n"/>
      <c r="C75" s="84" t="n"/>
      <c r="D75" s="84" t="n"/>
      <c r="E75" s="84" t="n"/>
      <c r="F75" s="84" t="n"/>
      <c r="G75" s="130" t="n"/>
      <c r="H75" s="130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>
      <c r="A76" s="129" t="n"/>
      <c r="B76" s="84" t="n"/>
      <c r="C76" s="84" t="n"/>
      <c r="D76" s="84" t="n"/>
      <c r="E76" s="84" t="n"/>
      <c r="F76" s="84" t="n"/>
      <c r="G76" s="130" t="n"/>
      <c r="H76" s="130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>
      <c r="A77" s="129" t="n"/>
      <c r="B77" s="84" t="n"/>
      <c r="C77" s="84" t="n"/>
      <c r="D77" s="84" t="n"/>
      <c r="E77" s="84" t="n"/>
      <c r="F77" s="84" t="n"/>
      <c r="G77" s="130" t="n"/>
      <c r="H77" s="130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>
      <c r="A78" s="129" t="n"/>
      <c r="B78" s="84" t="n"/>
      <c r="C78" s="84" t="n"/>
      <c r="D78" s="84" t="n"/>
      <c r="E78" s="84" t="n"/>
      <c r="F78" s="84" t="n"/>
      <c r="G78" s="130" t="n"/>
      <c r="H78" s="130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>
      <c r="A79" s="129" t="n"/>
      <c r="B79" s="84" t="n"/>
      <c r="C79" s="84" t="n"/>
      <c r="D79" s="84" t="n"/>
      <c r="E79" s="84" t="n"/>
      <c r="F79" s="84" t="n"/>
      <c r="G79" s="130" t="n"/>
      <c r="H79" s="130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>
      <c r="A80" s="129" t="n"/>
      <c r="B80" s="84" t="n"/>
      <c r="C80" s="84" t="n"/>
      <c r="D80" s="84" t="n"/>
      <c r="E80" s="84" t="n"/>
      <c r="F80" s="84" t="n"/>
      <c r="G80" s="130" t="n"/>
      <c r="H80" s="130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>
      <c r="A81" s="129" t="n"/>
      <c r="B81" s="84" t="n"/>
      <c r="C81" s="84" t="n"/>
      <c r="D81" s="84" t="n"/>
      <c r="E81" s="84" t="n"/>
      <c r="F81" s="84" t="n"/>
      <c r="G81" s="130" t="n"/>
      <c r="H81" s="130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>
      <c r="A82" s="129" t="n"/>
      <c r="B82" s="84" t="n"/>
      <c r="C82" s="84" t="n"/>
      <c r="D82" s="84" t="n"/>
      <c r="E82" s="84" t="n"/>
      <c r="F82" s="84" t="n"/>
      <c r="G82" s="130" t="n"/>
      <c r="H82" s="130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>
      <c r="A83" s="129" t="n"/>
      <c r="B83" s="84" t="n"/>
      <c r="C83" s="84" t="n"/>
      <c r="D83" s="84" t="n"/>
      <c r="E83" s="84" t="n"/>
      <c r="F83" s="84" t="n"/>
      <c r="G83" s="130" t="n"/>
      <c r="H83" s="130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>
      <c r="A84" s="129" t="n"/>
      <c r="B84" s="84" t="n"/>
      <c r="C84" s="84" t="n"/>
      <c r="D84" s="84" t="n"/>
      <c r="E84" s="84" t="n"/>
      <c r="F84" s="84" t="n"/>
      <c r="G84" s="130" t="n"/>
      <c r="H84" s="130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>
      <c r="A85" s="129" t="n"/>
      <c r="B85" s="84" t="n"/>
      <c r="C85" s="84" t="n"/>
      <c r="D85" s="84" t="n"/>
      <c r="E85" s="84" t="n"/>
      <c r="F85" s="84" t="n"/>
      <c r="G85" s="130" t="n"/>
      <c r="H85" s="130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>
      <c r="A86" s="129" t="n"/>
      <c r="B86" s="84" t="n"/>
      <c r="C86" s="84" t="n"/>
      <c r="D86" s="84" t="n"/>
      <c r="E86" s="84" t="n"/>
      <c r="F86" s="84" t="n"/>
      <c r="G86" s="130" t="n"/>
      <c r="H86" s="130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>
      <c r="A87" s="129" t="n"/>
      <c r="B87" s="84" t="n"/>
      <c r="C87" s="84" t="n"/>
      <c r="D87" s="84" t="n"/>
      <c r="E87" s="84" t="n"/>
      <c r="F87" s="84" t="n"/>
      <c r="G87" s="130" t="n"/>
      <c r="H87" s="130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>
      <c r="A88" s="129" t="n"/>
      <c r="B88" s="84" t="n"/>
      <c r="C88" s="84" t="n"/>
      <c r="D88" s="84" t="n"/>
      <c r="E88" s="84" t="n"/>
      <c r="F88" s="84" t="n"/>
      <c r="G88" s="130" t="n"/>
      <c r="H88" s="130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>
      <c r="A89" s="129" t="n"/>
      <c r="B89" s="84" t="n"/>
      <c r="C89" s="84" t="n"/>
      <c r="D89" s="84" t="n"/>
      <c r="E89" s="84" t="n"/>
      <c r="F89" s="84" t="n"/>
      <c r="G89" s="130" t="n"/>
      <c r="H89" s="130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</row>
    <row r="90">
      <c r="A90" s="129" t="n"/>
      <c r="B90" s="84" t="n"/>
      <c r="C90" s="84" t="n"/>
      <c r="D90" s="84" t="n"/>
      <c r="E90" s="84" t="n"/>
      <c r="F90" s="84" t="n"/>
      <c r="G90" s="130" t="n"/>
      <c r="H90" s="130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</row>
    <row r="91">
      <c r="A91" s="129" t="n"/>
      <c r="B91" s="84" t="n"/>
      <c r="C91" s="84" t="n"/>
      <c r="D91" s="84" t="n"/>
      <c r="E91" s="84" t="n"/>
      <c r="F91" s="84" t="n"/>
      <c r="G91" s="130" t="n"/>
      <c r="H91" s="130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</row>
    <row r="92">
      <c r="A92" s="129" t="n"/>
      <c r="B92" s="84" t="n"/>
      <c r="C92" s="84" t="n"/>
      <c r="D92" s="84" t="n"/>
      <c r="E92" s="84" t="n"/>
      <c r="F92" s="84" t="n"/>
      <c r="G92" s="130" t="n"/>
      <c r="H92" s="130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</row>
    <row r="93">
      <c r="A93" s="129" t="n"/>
      <c r="B93" s="84" t="n"/>
      <c r="C93" s="84" t="n"/>
      <c r="D93" s="84" t="n"/>
      <c r="E93" s="84" t="n"/>
      <c r="F93" s="84" t="n"/>
      <c r="G93" s="130" t="n"/>
      <c r="H93" s="130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</row>
    <row r="94">
      <c r="A94" s="129" t="n"/>
      <c r="B94" s="84" t="n"/>
      <c r="C94" s="84" t="n"/>
      <c r="D94" s="84" t="n"/>
      <c r="E94" s="84" t="n"/>
      <c r="F94" s="84" t="n"/>
      <c r="G94" s="130" t="n"/>
      <c r="H94" s="130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</row>
    <row r="95">
      <c r="A95" s="129" t="n"/>
      <c r="B95" s="84" t="n"/>
      <c r="C95" s="84" t="n"/>
      <c r="D95" s="84" t="n"/>
      <c r="E95" s="84" t="n"/>
      <c r="F95" s="84" t="n"/>
      <c r="G95" s="130" t="n"/>
      <c r="H95" s="130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</row>
    <row r="96">
      <c r="A96" s="129" t="n"/>
      <c r="B96" s="84" t="n"/>
      <c r="C96" s="84" t="n"/>
      <c r="D96" s="84" t="n"/>
      <c r="E96" s="84" t="n"/>
      <c r="F96" s="84" t="n"/>
      <c r="G96" s="130" t="n"/>
      <c r="H96" s="130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</row>
    <row r="97">
      <c r="A97" s="129" t="n"/>
      <c r="B97" s="84" t="n"/>
      <c r="C97" s="84" t="n"/>
      <c r="D97" s="84" t="n"/>
      <c r="E97" s="84" t="n"/>
      <c r="F97" s="84" t="n"/>
      <c r="G97" s="130" t="n"/>
      <c r="H97" s="130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</row>
    <row r="98">
      <c r="A98" s="129" t="n"/>
      <c r="B98" s="84" t="n"/>
      <c r="C98" s="84" t="n"/>
      <c r="D98" s="84" t="n"/>
      <c r="E98" s="84" t="n"/>
      <c r="F98" s="84" t="n"/>
      <c r="G98" s="130" t="n"/>
      <c r="H98" s="130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</row>
    <row r="99">
      <c r="A99" s="129" t="n"/>
      <c r="B99" s="84" t="n"/>
      <c r="C99" s="84" t="n"/>
      <c r="D99" s="84" t="n"/>
      <c r="E99" s="84" t="n"/>
      <c r="F99" s="84" t="n"/>
      <c r="G99" s="130" t="n"/>
      <c r="H99" s="130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</row>
    <row r="100">
      <c r="A100" s="129" t="n"/>
      <c r="B100" s="84" t="n"/>
      <c r="C100" s="84" t="n"/>
      <c r="D100" s="84" t="n"/>
      <c r="E100" s="84" t="n"/>
      <c r="F100" s="84" t="n"/>
      <c r="G100" s="130" t="n"/>
      <c r="H100" s="130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</row>
    <row r="101">
      <c r="A101" s="129" t="n"/>
      <c r="B101" s="84" t="n"/>
      <c r="C101" s="84" t="n"/>
      <c r="D101" s="84" t="n"/>
      <c r="E101" s="84" t="n"/>
      <c r="F101" s="84" t="n"/>
      <c r="G101" s="130" t="n"/>
      <c r="H101" s="130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</row>
    <row r="102">
      <c r="A102" s="129" t="n"/>
      <c r="B102" s="84" t="n"/>
      <c r="C102" s="84" t="n"/>
      <c r="D102" s="84" t="n"/>
      <c r="E102" s="84" t="n"/>
      <c r="F102" s="84" t="n"/>
      <c r="G102" s="130" t="n"/>
      <c r="H102" s="130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</row>
    <row r="103">
      <c r="A103" s="129" t="n"/>
      <c r="B103" s="84" t="n"/>
      <c r="C103" s="84" t="n"/>
      <c r="D103" s="84" t="n"/>
      <c r="E103" s="84" t="n"/>
      <c r="F103" s="84" t="n"/>
      <c r="G103" s="130" t="n"/>
      <c r="H103" s="130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</row>
    <row r="104">
      <c r="A104" s="129" t="n"/>
      <c r="B104" s="84" t="n"/>
      <c r="C104" s="84" t="n"/>
      <c r="D104" s="84" t="n"/>
      <c r="E104" s="84" t="n"/>
      <c r="F104" s="84" t="n"/>
      <c r="G104" s="130" t="n"/>
      <c r="H104" s="130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</row>
    <row r="105">
      <c r="A105" s="129" t="n"/>
      <c r="B105" s="84" t="n"/>
      <c r="C105" s="84" t="n"/>
      <c r="D105" s="84" t="n"/>
      <c r="E105" s="84" t="n"/>
      <c r="F105" s="84" t="n"/>
      <c r="G105" s="130" t="n"/>
      <c r="H105" s="130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</row>
    <row r="106">
      <c r="A106" s="129" t="n"/>
      <c r="B106" s="84" t="n"/>
      <c r="C106" s="84" t="n"/>
      <c r="D106" s="84" t="n"/>
      <c r="E106" s="84" t="n"/>
      <c r="F106" s="84" t="n"/>
      <c r="G106" s="130" t="n"/>
      <c r="H106" s="130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</row>
    <row r="107">
      <c r="A107" s="129" t="n"/>
      <c r="B107" s="84" t="n"/>
      <c r="C107" s="84" t="n"/>
      <c r="D107" s="84" t="n"/>
      <c r="E107" s="84" t="n"/>
      <c r="F107" s="84" t="n"/>
      <c r="G107" s="130" t="n"/>
      <c r="H107" s="130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</row>
    <row r="108">
      <c r="A108" s="129" t="n"/>
      <c r="B108" s="84" t="n"/>
      <c r="C108" s="84" t="n"/>
      <c r="D108" s="84" t="n"/>
      <c r="E108" s="84" t="n"/>
      <c r="F108" s="84" t="n"/>
      <c r="G108" s="130" t="n"/>
      <c r="H108" s="130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</row>
    <row r="109">
      <c r="A109" s="129" t="n"/>
      <c r="B109" s="84" t="n"/>
      <c r="C109" s="84" t="n"/>
      <c r="D109" s="84" t="n"/>
      <c r="E109" s="84" t="n"/>
      <c r="F109" s="84" t="n"/>
      <c r="G109" s="130" t="n"/>
      <c r="H109" s="130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</row>
    <row r="110">
      <c r="A110" s="129" t="n"/>
      <c r="B110" s="84" t="n"/>
      <c r="C110" s="84" t="n"/>
      <c r="D110" s="84" t="n"/>
      <c r="E110" s="84" t="n"/>
      <c r="F110" s="84" t="n"/>
      <c r="G110" s="130" t="n"/>
      <c r="H110" s="130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</row>
    <row r="111">
      <c r="A111" s="129" t="n"/>
      <c r="B111" s="84" t="n"/>
      <c r="C111" s="84" t="n"/>
      <c r="D111" s="84" t="n"/>
      <c r="E111" s="84" t="n"/>
      <c r="F111" s="84" t="n"/>
      <c r="G111" s="130" t="n"/>
      <c r="H111" s="130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</row>
    <row r="112">
      <c r="A112" s="129" t="n"/>
      <c r="B112" s="84" t="n"/>
      <c r="C112" s="84" t="n"/>
      <c r="D112" s="84" t="n"/>
      <c r="E112" s="84" t="n"/>
      <c r="F112" s="84" t="n"/>
      <c r="G112" s="130" t="n"/>
      <c r="H112" s="130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</row>
    <row r="113">
      <c r="A113" s="129" t="n"/>
      <c r="B113" s="84" t="n"/>
      <c r="C113" s="84" t="n"/>
      <c r="D113" s="84" t="n"/>
      <c r="E113" s="84" t="n"/>
      <c r="F113" s="84" t="n"/>
      <c r="G113" s="130" t="n"/>
      <c r="H113" s="130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</row>
    <row r="114">
      <c r="A114" s="129" t="n"/>
      <c r="B114" s="84" t="n"/>
      <c r="C114" s="84" t="n"/>
      <c r="D114" s="84" t="n"/>
      <c r="E114" s="84" t="n"/>
      <c r="F114" s="84" t="n"/>
      <c r="G114" s="130" t="n"/>
      <c r="H114" s="130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</row>
    <row r="115">
      <c r="A115" s="129" t="n"/>
      <c r="B115" s="84" t="n"/>
      <c r="C115" s="84" t="n"/>
      <c r="D115" s="84" t="n"/>
      <c r="E115" s="84" t="n"/>
      <c r="F115" s="84" t="n"/>
      <c r="G115" s="130" t="n"/>
      <c r="H115" s="130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</row>
    <row r="116">
      <c r="A116" s="129" t="n"/>
      <c r="B116" s="84" t="n"/>
      <c r="C116" s="84" t="n"/>
      <c r="D116" s="84" t="n"/>
      <c r="E116" s="84" t="n"/>
      <c r="F116" s="84" t="n"/>
      <c r="G116" s="130" t="n"/>
      <c r="H116" s="130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</row>
    <row r="117">
      <c r="A117" s="129" t="n"/>
      <c r="B117" s="84" t="n"/>
      <c r="C117" s="84" t="n"/>
      <c r="D117" s="84" t="n"/>
      <c r="E117" s="84" t="n"/>
      <c r="F117" s="84" t="n"/>
      <c r="G117" s="130" t="n"/>
      <c r="H117" s="130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</row>
    <row r="118">
      <c r="A118" s="129" t="n"/>
      <c r="B118" s="84" t="n"/>
      <c r="C118" s="84" t="n"/>
      <c r="D118" s="84" t="n"/>
      <c r="E118" s="84" t="n"/>
      <c r="F118" s="84" t="n"/>
      <c r="G118" s="130" t="n"/>
      <c r="H118" s="130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</row>
    <row r="119">
      <c r="A119" s="129" t="n"/>
      <c r="B119" s="84" t="n"/>
      <c r="C119" s="84" t="n"/>
      <c r="D119" s="84" t="n"/>
      <c r="E119" s="84" t="n"/>
      <c r="F119" s="84" t="n"/>
      <c r="G119" s="130" t="n"/>
      <c r="H119" s="130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</row>
    <row r="120">
      <c r="A120" s="129" t="n"/>
      <c r="B120" s="84" t="n"/>
      <c r="C120" s="84" t="n"/>
      <c r="D120" s="84" t="n"/>
      <c r="E120" s="84" t="n"/>
      <c r="F120" s="84" t="n"/>
      <c r="G120" s="130" t="n"/>
      <c r="H120" s="130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</row>
    <row r="121">
      <c r="A121" s="129" t="n"/>
      <c r="B121" s="84" t="n"/>
      <c r="C121" s="84" t="n"/>
      <c r="D121" s="84" t="n"/>
      <c r="E121" s="84" t="n"/>
      <c r="F121" s="84" t="n"/>
      <c r="G121" s="130" t="n"/>
      <c r="H121" s="130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</row>
    <row r="122">
      <c r="A122" s="129" t="n"/>
      <c r="B122" s="84" t="n"/>
      <c r="C122" s="84" t="n"/>
      <c r="D122" s="84" t="n"/>
      <c r="E122" s="84" t="n"/>
      <c r="F122" s="84" t="n"/>
      <c r="G122" s="130" t="n"/>
      <c r="H122" s="130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</row>
    <row r="123">
      <c r="A123" s="129" t="n"/>
      <c r="B123" s="84" t="n"/>
      <c r="C123" s="84" t="n"/>
      <c r="D123" s="84" t="n"/>
      <c r="E123" s="84" t="n"/>
      <c r="F123" s="84" t="n"/>
      <c r="G123" s="130" t="n"/>
      <c r="H123" s="130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</row>
    <row r="124">
      <c r="A124" s="129" t="n"/>
      <c r="B124" s="84" t="n"/>
      <c r="C124" s="84" t="n"/>
      <c r="D124" s="84" t="n"/>
      <c r="E124" s="84" t="n"/>
      <c r="F124" s="84" t="n"/>
      <c r="G124" s="130" t="n"/>
      <c r="H124" s="130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</row>
    <row r="125">
      <c r="A125" s="129" t="n"/>
      <c r="B125" s="84" t="n"/>
      <c r="C125" s="84" t="n"/>
      <c r="D125" s="84" t="n"/>
      <c r="E125" s="84" t="n"/>
      <c r="F125" s="84" t="n"/>
      <c r="G125" s="130" t="n"/>
      <c r="H125" s="130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</row>
    <row r="126">
      <c r="A126" s="129" t="n"/>
      <c r="B126" s="84" t="n"/>
      <c r="C126" s="84" t="n"/>
      <c r="D126" s="84" t="n"/>
      <c r="E126" s="84" t="n"/>
      <c r="F126" s="84" t="n"/>
      <c r="G126" s="130" t="n"/>
      <c r="H126" s="130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</row>
    <row r="127">
      <c r="A127" s="129" t="n"/>
      <c r="B127" s="84" t="n"/>
      <c r="C127" s="84" t="n"/>
      <c r="D127" s="84" t="n"/>
      <c r="E127" s="84" t="n"/>
      <c r="F127" s="84" t="n"/>
      <c r="G127" s="130" t="n"/>
      <c r="H127" s="130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</row>
    <row r="128">
      <c r="A128" s="129" t="n"/>
      <c r="B128" s="84" t="n"/>
      <c r="C128" s="84" t="n"/>
      <c r="D128" s="84" t="n"/>
      <c r="E128" s="84" t="n"/>
      <c r="F128" s="84" t="n"/>
      <c r="G128" s="130" t="n"/>
      <c r="H128" s="130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</row>
    <row r="129">
      <c r="A129" s="129" t="n"/>
      <c r="B129" s="84" t="n"/>
      <c r="C129" s="84" t="n"/>
      <c r="D129" s="84" t="n"/>
      <c r="E129" s="84" t="n"/>
      <c r="F129" s="84" t="n"/>
      <c r="G129" s="130" t="n"/>
      <c r="H129" s="130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</row>
    <row r="130">
      <c r="A130" s="129" t="n"/>
      <c r="B130" s="84" t="n"/>
      <c r="C130" s="84" t="n"/>
      <c r="D130" s="84" t="n"/>
      <c r="E130" s="84" t="n"/>
      <c r="F130" s="84" t="n"/>
      <c r="G130" s="130" t="n"/>
      <c r="H130" s="130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</row>
    <row r="131">
      <c r="A131" s="129" t="n"/>
      <c r="B131" s="84" t="n"/>
      <c r="C131" s="84" t="n"/>
      <c r="D131" s="84" t="n"/>
      <c r="E131" s="84" t="n"/>
      <c r="F131" s="84" t="n"/>
      <c r="G131" s="130" t="n"/>
      <c r="H131" s="130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</row>
    <row r="132">
      <c r="A132" s="129" t="n"/>
      <c r="B132" s="84" t="n"/>
      <c r="C132" s="84" t="n"/>
      <c r="D132" s="84" t="n"/>
      <c r="E132" s="84" t="n"/>
      <c r="F132" s="84" t="n"/>
      <c r="G132" s="130" t="n"/>
      <c r="H132" s="130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</row>
    <row r="133">
      <c r="A133" s="129" t="n"/>
      <c r="B133" s="84" t="n"/>
      <c r="C133" s="84" t="n"/>
      <c r="D133" s="84" t="n"/>
      <c r="E133" s="84" t="n"/>
      <c r="F133" s="84" t="n"/>
      <c r="G133" s="130" t="n"/>
      <c r="H133" s="130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</row>
    <row r="134">
      <c r="A134" s="129" t="n"/>
      <c r="B134" s="84" t="n"/>
      <c r="C134" s="84" t="n"/>
      <c r="D134" s="84" t="n"/>
      <c r="E134" s="84" t="n"/>
      <c r="F134" s="84" t="n"/>
      <c r="G134" s="130" t="n"/>
      <c r="H134" s="130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</row>
    <row r="135">
      <c r="A135" s="129" t="n"/>
      <c r="B135" s="84" t="n"/>
      <c r="C135" s="84" t="n"/>
      <c r="D135" s="84" t="n"/>
      <c r="E135" s="84" t="n"/>
      <c r="F135" s="84" t="n"/>
      <c r="G135" s="130" t="n"/>
      <c r="H135" s="130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</row>
    <row r="136">
      <c r="A136" s="129" t="n"/>
      <c r="B136" s="84" t="n"/>
      <c r="C136" s="84" t="n"/>
      <c r="D136" s="84" t="n"/>
      <c r="E136" s="84" t="n"/>
      <c r="F136" s="84" t="n"/>
      <c r="G136" s="130" t="n"/>
      <c r="H136" s="130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</row>
    <row r="137">
      <c r="A137" s="129" t="n"/>
      <c r="B137" s="84" t="n"/>
      <c r="C137" s="84" t="n"/>
      <c r="D137" s="84" t="n"/>
      <c r="E137" s="84" t="n"/>
      <c r="F137" s="84" t="n"/>
      <c r="G137" s="130" t="n"/>
      <c r="H137" s="130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</row>
    <row r="138">
      <c r="A138" s="129" t="n"/>
      <c r="B138" s="84" t="n"/>
      <c r="C138" s="84" t="n"/>
      <c r="D138" s="84" t="n"/>
      <c r="E138" s="84" t="n"/>
      <c r="F138" s="84" t="n"/>
      <c r="G138" s="130" t="n"/>
      <c r="H138" s="130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</row>
    <row r="139">
      <c r="A139" s="129" t="n"/>
      <c r="B139" s="84" t="n"/>
      <c r="C139" s="84" t="n"/>
      <c r="D139" s="84" t="n"/>
      <c r="E139" s="84" t="n"/>
      <c r="F139" s="84" t="n"/>
      <c r="G139" s="130" t="n"/>
      <c r="H139" s="130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</row>
    <row r="140">
      <c r="A140" s="129" t="n"/>
      <c r="B140" s="84" t="n"/>
      <c r="C140" s="84" t="n"/>
      <c r="D140" s="84" t="n"/>
      <c r="E140" s="84" t="n"/>
      <c r="F140" s="84" t="n"/>
      <c r="G140" s="130" t="n"/>
      <c r="H140" s="130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</row>
    <row r="141">
      <c r="A141" s="129" t="n"/>
      <c r="B141" s="84" t="n"/>
      <c r="C141" s="84" t="n"/>
      <c r="D141" s="84" t="n"/>
      <c r="E141" s="84" t="n"/>
      <c r="F141" s="84" t="n"/>
      <c r="G141" s="130" t="n"/>
      <c r="H141" s="130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</row>
    <row r="142">
      <c r="A142" s="129" t="n"/>
      <c r="B142" s="84" t="n"/>
      <c r="C142" s="84" t="n"/>
      <c r="D142" s="84" t="n"/>
      <c r="E142" s="84" t="n"/>
      <c r="F142" s="84" t="n"/>
      <c r="G142" s="130" t="n"/>
      <c r="H142" s="130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</row>
    <row r="143">
      <c r="A143" s="129" t="n"/>
      <c r="B143" s="84" t="n"/>
      <c r="C143" s="84" t="n"/>
      <c r="D143" s="84" t="n"/>
      <c r="E143" s="84" t="n"/>
      <c r="F143" s="84" t="n"/>
      <c r="G143" s="130" t="n"/>
      <c r="H143" s="130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</row>
    <row r="144">
      <c r="A144" s="129" t="n"/>
      <c r="B144" s="84" t="n"/>
      <c r="C144" s="84" t="n"/>
      <c r="D144" s="84" t="n"/>
      <c r="E144" s="84" t="n"/>
      <c r="F144" s="84" t="n"/>
      <c r="G144" s="130" t="n"/>
      <c r="H144" s="130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</row>
    <row r="145">
      <c r="A145" s="129" t="n"/>
      <c r="B145" s="84" t="n"/>
      <c r="C145" s="84" t="n"/>
      <c r="D145" s="84" t="n"/>
      <c r="E145" s="84" t="n"/>
      <c r="F145" s="84" t="n"/>
      <c r="G145" s="130" t="n"/>
      <c r="H145" s="130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</row>
    <row r="146">
      <c r="A146" s="129" t="n"/>
      <c r="B146" s="84" t="n"/>
      <c r="C146" s="84" t="n"/>
      <c r="D146" s="84" t="n"/>
      <c r="E146" s="84" t="n"/>
      <c r="F146" s="84" t="n"/>
      <c r="G146" s="130" t="n"/>
      <c r="H146" s="130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</row>
    <row r="147">
      <c r="A147" s="129" t="n"/>
      <c r="B147" s="84" t="n"/>
      <c r="C147" s="84" t="n"/>
      <c r="D147" s="84" t="n"/>
      <c r="E147" s="84" t="n"/>
      <c r="F147" s="84" t="n"/>
      <c r="G147" s="130" t="n"/>
      <c r="H147" s="130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</row>
    <row r="148">
      <c r="A148" s="129" t="n"/>
      <c r="B148" s="84" t="n"/>
      <c r="C148" s="84" t="n"/>
      <c r="D148" s="84" t="n"/>
      <c r="E148" s="84" t="n"/>
      <c r="F148" s="84" t="n"/>
      <c r="G148" s="130" t="n"/>
      <c r="H148" s="130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</row>
    <row r="149">
      <c r="A149" s="129" t="n"/>
      <c r="B149" s="84" t="n"/>
      <c r="C149" s="84" t="n"/>
      <c r="D149" s="84" t="n"/>
      <c r="E149" s="84" t="n"/>
      <c r="F149" s="84" t="n"/>
      <c r="G149" s="130" t="n"/>
      <c r="H149" s="130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</row>
    <row r="150">
      <c r="A150" s="129" t="n"/>
      <c r="B150" s="84" t="n"/>
      <c r="C150" s="84" t="n"/>
      <c r="D150" s="84" t="n"/>
      <c r="E150" s="84" t="n"/>
      <c r="F150" s="84" t="n"/>
      <c r="G150" s="130" t="n"/>
      <c r="H150" s="130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</row>
    <row r="151">
      <c r="A151" s="129" t="n"/>
      <c r="B151" s="84" t="n"/>
      <c r="C151" s="84" t="n"/>
      <c r="D151" s="84" t="n"/>
      <c r="E151" s="84" t="n"/>
      <c r="F151" s="84" t="n"/>
      <c r="G151" s="130" t="n"/>
      <c r="H151" s="130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</row>
    <row r="152">
      <c r="A152" s="129" t="n"/>
      <c r="B152" s="84" t="n"/>
      <c r="C152" s="84" t="n"/>
      <c r="D152" s="84" t="n"/>
      <c r="E152" s="84" t="n"/>
      <c r="F152" s="84" t="n"/>
      <c r="G152" s="130" t="n"/>
      <c r="H152" s="130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</row>
    <row r="153">
      <c r="A153" s="129" t="n"/>
      <c r="B153" s="84" t="n"/>
      <c r="C153" s="84" t="n"/>
      <c r="D153" s="84" t="n"/>
      <c r="E153" s="84" t="n"/>
      <c r="F153" s="84" t="n"/>
      <c r="G153" s="130" t="n"/>
      <c r="H153" s="130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</row>
    <row r="154">
      <c r="A154" s="129" t="n"/>
      <c r="B154" s="84" t="n"/>
      <c r="C154" s="84" t="n"/>
      <c r="D154" s="84" t="n"/>
      <c r="E154" s="84" t="n"/>
      <c r="F154" s="84" t="n"/>
      <c r="G154" s="130" t="n"/>
      <c r="H154" s="130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</row>
    <row r="155">
      <c r="A155" s="129" t="n"/>
      <c r="B155" s="84" t="n"/>
      <c r="C155" s="84" t="n"/>
      <c r="D155" s="84" t="n"/>
      <c r="E155" s="84" t="n"/>
      <c r="F155" s="84" t="n"/>
      <c r="G155" s="130" t="n"/>
      <c r="H155" s="130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</row>
    <row r="156">
      <c r="A156" s="129" t="n"/>
      <c r="B156" s="84" t="n"/>
      <c r="C156" s="84" t="n"/>
      <c r="D156" s="84" t="n"/>
      <c r="E156" s="84" t="n"/>
      <c r="F156" s="84" t="n"/>
      <c r="G156" s="130" t="n"/>
      <c r="H156" s="130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</row>
    <row r="157">
      <c r="A157" s="129" t="n"/>
      <c r="B157" s="84" t="n"/>
      <c r="C157" s="84" t="n"/>
      <c r="D157" s="84" t="n"/>
      <c r="E157" s="84" t="n"/>
      <c r="F157" s="84" t="n"/>
      <c r="G157" s="130" t="n"/>
      <c r="H157" s="130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</row>
    <row r="158">
      <c r="A158" s="129" t="n"/>
      <c r="B158" s="84" t="n"/>
      <c r="C158" s="84" t="n"/>
      <c r="D158" s="84" t="n"/>
      <c r="E158" s="84" t="n"/>
      <c r="F158" s="84" t="n"/>
      <c r="G158" s="130" t="n"/>
      <c r="H158" s="130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</row>
    <row r="159">
      <c r="A159" s="129" t="n"/>
      <c r="B159" s="84" t="n"/>
      <c r="C159" s="84" t="n"/>
      <c r="D159" s="84" t="n"/>
      <c r="E159" s="84" t="n"/>
      <c r="F159" s="84" t="n"/>
      <c r="G159" s="130" t="n"/>
      <c r="H159" s="130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</row>
    <row r="160">
      <c r="A160" s="129" t="n"/>
      <c r="B160" s="84" t="n"/>
      <c r="C160" s="84" t="n"/>
      <c r="D160" s="84" t="n"/>
      <c r="E160" s="84" t="n"/>
      <c r="F160" s="84" t="n"/>
      <c r="G160" s="130" t="n"/>
      <c r="H160" s="130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</row>
    <row r="161">
      <c r="A161" s="129" t="n"/>
      <c r="B161" s="84" t="n"/>
      <c r="C161" s="84" t="n"/>
      <c r="D161" s="84" t="n"/>
      <c r="E161" s="84" t="n"/>
      <c r="F161" s="84" t="n"/>
      <c r="G161" s="130" t="n"/>
      <c r="H161" s="130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</row>
    <row r="162">
      <c r="A162" s="129" t="n"/>
      <c r="B162" s="84" t="n"/>
      <c r="C162" s="84" t="n"/>
      <c r="D162" s="84" t="n"/>
      <c r="E162" s="84" t="n"/>
      <c r="F162" s="84" t="n"/>
      <c r="G162" s="130" t="n"/>
      <c r="H162" s="130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</row>
    <row r="163">
      <c r="A163" s="129" t="n"/>
      <c r="B163" s="84" t="n"/>
      <c r="C163" s="84" t="n"/>
      <c r="D163" s="84" t="n"/>
      <c r="E163" s="84" t="n"/>
      <c r="F163" s="84" t="n"/>
      <c r="G163" s="130" t="n"/>
      <c r="H163" s="130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</row>
    <row r="164">
      <c r="A164" s="129" t="n"/>
      <c r="B164" s="84" t="n"/>
      <c r="C164" s="84" t="n"/>
      <c r="D164" s="84" t="n"/>
      <c r="E164" s="84" t="n"/>
      <c r="F164" s="84" t="n"/>
      <c r="G164" s="130" t="n"/>
      <c r="H164" s="130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</row>
    <row r="165">
      <c r="A165" s="129" t="n"/>
      <c r="B165" s="84" t="n"/>
      <c r="C165" s="84" t="n"/>
      <c r="D165" s="84" t="n"/>
      <c r="E165" s="84" t="n"/>
      <c r="F165" s="84" t="n"/>
      <c r="G165" s="130" t="n"/>
      <c r="H165" s="130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</row>
    <row r="166">
      <c r="A166" s="129" t="n"/>
      <c r="B166" s="84" t="n"/>
      <c r="C166" s="84" t="n"/>
      <c r="D166" s="84" t="n"/>
      <c r="E166" s="84" t="n"/>
      <c r="F166" s="84" t="n"/>
      <c r="G166" s="130" t="n"/>
      <c r="H166" s="130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</row>
    <row r="167">
      <c r="A167" s="129" t="n"/>
      <c r="B167" s="84" t="n"/>
      <c r="C167" s="84" t="n"/>
      <c r="D167" s="84" t="n"/>
      <c r="E167" s="84" t="n"/>
      <c r="F167" s="84" t="n"/>
      <c r="G167" s="130" t="n"/>
      <c r="H167" s="130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</row>
    <row r="168">
      <c r="A168" s="129" t="n"/>
      <c r="B168" s="84" t="n"/>
      <c r="C168" s="84" t="n"/>
      <c r="D168" s="84" t="n"/>
      <c r="E168" s="84" t="n"/>
      <c r="F168" s="84" t="n"/>
      <c r="G168" s="130" t="n"/>
      <c r="H168" s="130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</row>
    <row r="169">
      <c r="A169" s="129" t="n"/>
      <c r="B169" s="84" t="n"/>
      <c r="C169" s="84" t="n"/>
      <c r="D169" s="84" t="n"/>
      <c r="E169" s="84" t="n"/>
      <c r="F169" s="84" t="n"/>
      <c r="G169" s="130" t="n"/>
      <c r="H169" s="130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</row>
    <row r="170">
      <c r="A170" s="129" t="n"/>
      <c r="B170" s="84" t="n"/>
      <c r="C170" s="84" t="n"/>
      <c r="D170" s="84" t="n"/>
      <c r="E170" s="84" t="n"/>
      <c r="F170" s="84" t="n"/>
      <c r="G170" s="130" t="n"/>
      <c r="H170" s="130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</row>
    <row r="171">
      <c r="A171" s="129" t="n"/>
      <c r="B171" s="84" t="n"/>
      <c r="C171" s="84" t="n"/>
      <c r="D171" s="84" t="n"/>
      <c r="E171" s="84" t="n"/>
      <c r="F171" s="84" t="n"/>
      <c r="G171" s="130" t="n"/>
      <c r="H171" s="130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</row>
    <row r="172">
      <c r="A172" s="129" t="n"/>
      <c r="B172" s="84" t="n"/>
      <c r="C172" s="84" t="n"/>
      <c r="D172" s="84" t="n"/>
      <c r="E172" s="84" t="n"/>
      <c r="F172" s="84" t="n"/>
      <c r="G172" s="130" t="n"/>
      <c r="H172" s="130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</row>
    <row r="173">
      <c r="A173" s="129" t="n"/>
      <c r="B173" s="84" t="n"/>
      <c r="C173" s="84" t="n"/>
      <c r="D173" s="84" t="n"/>
      <c r="E173" s="84" t="n"/>
      <c r="F173" s="84" t="n"/>
      <c r="G173" s="130" t="n"/>
      <c r="H173" s="130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</row>
    <row r="174">
      <c r="A174" s="129" t="n"/>
      <c r="B174" s="84" t="n"/>
      <c r="C174" s="84" t="n"/>
      <c r="D174" s="84" t="n"/>
      <c r="E174" s="84" t="n"/>
      <c r="F174" s="84" t="n"/>
      <c r="G174" s="130" t="n"/>
      <c r="H174" s="130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</row>
    <row r="175">
      <c r="A175" s="129" t="n"/>
      <c r="B175" s="84" t="n"/>
      <c r="C175" s="84" t="n"/>
      <c r="D175" s="84" t="n"/>
      <c r="E175" s="84" t="n"/>
      <c r="F175" s="84" t="n"/>
      <c r="G175" s="130" t="n"/>
      <c r="H175" s="130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</row>
    <row r="176">
      <c r="A176" s="129" t="n"/>
      <c r="B176" s="84" t="n"/>
      <c r="C176" s="84" t="n"/>
      <c r="D176" s="84" t="n"/>
      <c r="E176" s="84" t="n"/>
      <c r="F176" s="84" t="n"/>
      <c r="G176" s="130" t="n"/>
      <c r="H176" s="130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</row>
    <row r="177">
      <c r="A177" s="129" t="n"/>
      <c r="B177" s="84" t="n"/>
      <c r="C177" s="84" t="n"/>
      <c r="D177" s="84" t="n"/>
      <c r="E177" s="84" t="n"/>
      <c r="F177" s="84" t="n"/>
      <c r="G177" s="130" t="n"/>
      <c r="H177" s="130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</row>
    <row r="178">
      <c r="A178" s="129" t="n"/>
      <c r="B178" s="84" t="n"/>
      <c r="C178" s="84" t="n"/>
      <c r="D178" s="84" t="n"/>
      <c r="E178" s="84" t="n"/>
      <c r="F178" s="84" t="n"/>
      <c r="G178" s="130" t="n"/>
      <c r="H178" s="130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</row>
    <row r="179">
      <c r="A179" s="129" t="n"/>
      <c r="B179" s="84" t="n"/>
      <c r="C179" s="84" t="n"/>
      <c r="D179" s="84" t="n"/>
      <c r="E179" s="84" t="n"/>
      <c r="F179" s="84" t="n"/>
      <c r="G179" s="130" t="n"/>
      <c r="H179" s="130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</row>
    <row r="180">
      <c r="A180" s="129" t="n"/>
      <c r="B180" s="84" t="n"/>
      <c r="C180" s="84" t="n"/>
      <c r="D180" s="84" t="n"/>
      <c r="E180" s="84" t="n"/>
      <c r="F180" s="84" t="n"/>
      <c r="G180" s="130" t="n"/>
      <c r="H180" s="130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</row>
    <row r="181">
      <c r="A181" s="129" t="n"/>
      <c r="B181" s="84" t="n"/>
      <c r="C181" s="84" t="n"/>
      <c r="D181" s="84" t="n"/>
      <c r="E181" s="84" t="n"/>
      <c r="F181" s="84" t="n"/>
      <c r="G181" s="130" t="n"/>
      <c r="H181" s="130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</row>
    <row r="182">
      <c r="A182" s="129" t="n"/>
      <c r="B182" s="84" t="n"/>
      <c r="C182" s="84" t="n"/>
      <c r="D182" s="84" t="n"/>
      <c r="E182" s="84" t="n"/>
      <c r="F182" s="84" t="n"/>
      <c r="G182" s="130" t="n"/>
      <c r="H182" s="130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</row>
    <row r="183">
      <c r="A183" s="129" t="n"/>
      <c r="B183" s="84" t="n"/>
      <c r="C183" s="84" t="n"/>
      <c r="D183" s="84" t="n"/>
      <c r="E183" s="84" t="n"/>
      <c r="F183" s="84" t="n"/>
      <c r="G183" s="130" t="n"/>
      <c r="H183" s="130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</row>
    <row r="184">
      <c r="A184" s="129" t="n"/>
      <c r="B184" s="84" t="n"/>
      <c r="C184" s="84" t="n"/>
      <c r="D184" s="84" t="n"/>
      <c r="E184" s="84" t="n"/>
      <c r="F184" s="84" t="n"/>
      <c r="G184" s="130" t="n"/>
      <c r="H184" s="130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</row>
    <row r="185">
      <c r="A185" s="129" t="n"/>
      <c r="B185" s="84" t="n"/>
      <c r="C185" s="84" t="n"/>
      <c r="D185" s="84" t="n"/>
      <c r="E185" s="84" t="n"/>
      <c r="F185" s="84" t="n"/>
      <c r="G185" s="130" t="n"/>
      <c r="H185" s="130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</row>
    <row r="186">
      <c r="A186" s="129" t="n"/>
      <c r="B186" s="84" t="n"/>
      <c r="C186" s="84" t="n"/>
      <c r="D186" s="84" t="n"/>
      <c r="E186" s="84" t="n"/>
      <c r="F186" s="84" t="n"/>
      <c r="G186" s="130" t="n"/>
      <c r="H186" s="130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</row>
    <row r="187">
      <c r="A187" s="129" t="n"/>
      <c r="B187" s="84" t="n"/>
      <c r="C187" s="84" t="n"/>
      <c r="D187" s="84" t="n"/>
      <c r="E187" s="84" t="n"/>
      <c r="F187" s="84" t="n"/>
      <c r="G187" s="130" t="n"/>
      <c r="H187" s="130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</row>
    <row r="188">
      <c r="A188" s="129" t="n"/>
      <c r="B188" s="84" t="n"/>
      <c r="C188" s="84" t="n"/>
      <c r="D188" s="84" t="n"/>
      <c r="E188" s="84" t="n"/>
      <c r="F188" s="84" t="n"/>
      <c r="G188" s="130" t="n"/>
      <c r="H188" s="130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</row>
    <row r="189">
      <c r="A189" s="129" t="n"/>
      <c r="B189" s="84" t="n"/>
      <c r="C189" s="84" t="n"/>
      <c r="D189" s="84" t="n"/>
      <c r="E189" s="84" t="n"/>
      <c r="F189" s="84" t="n"/>
      <c r="G189" s="130" t="n"/>
      <c r="H189" s="130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</row>
    <row r="190">
      <c r="A190" s="129" t="n"/>
      <c r="B190" s="84" t="n"/>
      <c r="C190" s="84" t="n"/>
      <c r="D190" s="84" t="n"/>
      <c r="E190" s="84" t="n"/>
      <c r="F190" s="84" t="n"/>
      <c r="G190" s="130" t="n"/>
      <c r="H190" s="130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</row>
    <row r="191">
      <c r="A191" s="129" t="n"/>
      <c r="B191" s="84" t="n"/>
      <c r="C191" s="84" t="n"/>
      <c r="D191" s="84" t="n"/>
      <c r="E191" s="84" t="n"/>
      <c r="F191" s="84" t="n"/>
      <c r="G191" s="130" t="n"/>
      <c r="H191" s="130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</row>
    <row r="192">
      <c r="A192" s="129" t="n"/>
      <c r="B192" s="84" t="n"/>
      <c r="C192" s="84" t="n"/>
      <c r="D192" s="84" t="n"/>
      <c r="E192" s="84" t="n"/>
      <c r="F192" s="84" t="n"/>
      <c r="G192" s="130" t="n"/>
      <c r="H192" s="130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</row>
    <row r="193">
      <c r="A193" s="129" t="n"/>
      <c r="B193" s="84" t="n"/>
      <c r="C193" s="84" t="n"/>
      <c r="D193" s="84" t="n"/>
      <c r="E193" s="84" t="n"/>
      <c r="F193" s="84" t="n"/>
      <c r="G193" s="130" t="n"/>
      <c r="H193" s="130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</row>
    <row r="194">
      <c r="A194" s="129" t="n"/>
      <c r="B194" s="84" t="n"/>
      <c r="C194" s="84" t="n"/>
      <c r="D194" s="84" t="n"/>
      <c r="E194" s="84" t="n"/>
      <c r="F194" s="84" t="n"/>
      <c r="G194" s="130" t="n"/>
      <c r="H194" s="130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</row>
    <row r="195">
      <c r="A195" s="129" t="n"/>
      <c r="B195" s="84" t="n"/>
      <c r="C195" s="84" t="n"/>
      <c r="D195" s="84" t="n"/>
      <c r="E195" s="84" t="n"/>
      <c r="F195" s="84" t="n"/>
      <c r="G195" s="130" t="n"/>
      <c r="H195" s="130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</row>
    <row r="196">
      <c r="A196" s="129" t="n"/>
      <c r="B196" s="84" t="n"/>
      <c r="C196" s="84" t="n"/>
      <c r="D196" s="84" t="n"/>
      <c r="E196" s="84" t="n"/>
      <c r="F196" s="84" t="n"/>
      <c r="G196" s="130" t="n"/>
      <c r="H196" s="130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</row>
    <row r="197">
      <c r="A197" s="129" t="n"/>
      <c r="B197" s="84" t="n"/>
      <c r="C197" s="84" t="n"/>
      <c r="D197" s="84" t="n"/>
      <c r="E197" s="84" t="n"/>
      <c r="F197" s="84" t="n"/>
      <c r="G197" s="130" t="n"/>
      <c r="H197" s="130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</row>
    <row r="198">
      <c r="A198" s="129" t="n"/>
      <c r="B198" s="84" t="n"/>
      <c r="C198" s="84" t="n"/>
      <c r="D198" s="84" t="n"/>
      <c r="E198" s="84" t="n"/>
      <c r="F198" s="84" t="n"/>
      <c r="G198" s="130" t="n"/>
      <c r="H198" s="130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</row>
    <row r="199">
      <c r="A199" s="129" t="n"/>
      <c r="B199" s="84" t="n"/>
      <c r="C199" s="84" t="n"/>
      <c r="D199" s="84" t="n"/>
      <c r="E199" s="84" t="n"/>
      <c r="F199" s="84" t="n"/>
      <c r="G199" s="130" t="n"/>
      <c r="H199" s="130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</row>
    <row r="200">
      <c r="A200" s="129" t="n"/>
      <c r="B200" s="84" t="n"/>
      <c r="C200" s="84" t="n"/>
      <c r="D200" s="84" t="n"/>
      <c r="E200" s="84" t="n"/>
      <c r="F200" s="84" t="n"/>
      <c r="G200" s="130" t="n"/>
      <c r="H200" s="130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</row>
    <row r="201">
      <c r="A201" s="133" t="n"/>
      <c r="G201" s="127" t="n"/>
      <c r="H201" s="127" t="n"/>
    </row>
    <row r="202">
      <c r="A202" s="133" t="n"/>
      <c r="G202" s="127" t="n"/>
      <c r="H202" s="127" t="n"/>
    </row>
    <row r="203">
      <c r="A203" s="133" t="n"/>
      <c r="G203" s="127" t="n"/>
      <c r="H203" s="127" t="n"/>
    </row>
    <row r="204">
      <c r="A204" s="133" t="n"/>
      <c r="G204" s="127" t="n"/>
      <c r="H204" s="127" t="n"/>
    </row>
    <row r="205">
      <c r="A205" s="133" t="n"/>
      <c r="G205" s="127" t="n"/>
      <c r="H205" s="127" t="n"/>
    </row>
    <row r="206">
      <c r="A206" s="133" t="n"/>
      <c r="G206" s="127" t="n"/>
      <c r="H206" s="127" t="n"/>
    </row>
    <row r="207">
      <c r="A207" s="133" t="n"/>
      <c r="G207" s="127" t="n"/>
      <c r="H207" s="127" t="n"/>
    </row>
    <row r="208">
      <c r="A208" s="133" t="n"/>
      <c r="G208" s="127" t="n"/>
      <c r="H208" s="127" t="n"/>
    </row>
    <row r="209">
      <c r="A209" s="133" t="n"/>
      <c r="G209" s="127" t="n"/>
      <c r="H209" s="127" t="n"/>
    </row>
    <row r="210">
      <c r="A210" s="133" t="n"/>
      <c r="G210" s="127" t="n"/>
      <c r="H210" s="127" t="n"/>
    </row>
    <row r="211">
      <c r="A211" s="133" t="n"/>
      <c r="G211" s="127" t="n"/>
      <c r="H211" s="127" t="n"/>
    </row>
    <row r="212">
      <c r="A212" s="133" t="n"/>
      <c r="G212" s="127" t="n"/>
      <c r="H212" s="127" t="n"/>
    </row>
    <row r="213">
      <c r="A213" s="133" t="n"/>
      <c r="G213" s="127" t="n"/>
      <c r="H213" s="127" t="n"/>
    </row>
    <row r="214">
      <c r="A214" s="133" t="n"/>
      <c r="G214" s="127" t="n"/>
      <c r="H214" s="127" t="n"/>
    </row>
    <row r="215">
      <c r="A215" s="133" t="n"/>
      <c r="G215" s="127" t="n"/>
      <c r="H215" s="127" t="n"/>
    </row>
    <row r="216">
      <c r="A216" s="133" t="n"/>
      <c r="G216" s="127" t="n"/>
      <c r="H216" s="127" t="n"/>
    </row>
    <row r="217">
      <c r="A217" s="133" t="n"/>
      <c r="G217" s="127" t="n"/>
      <c r="H217" s="127" t="n"/>
    </row>
    <row r="218">
      <c r="A218" s="133" t="n"/>
      <c r="G218" s="127" t="n"/>
      <c r="H218" s="127" t="n"/>
    </row>
    <row r="219">
      <c r="A219" s="133" t="n"/>
      <c r="G219" s="127" t="n"/>
      <c r="H219" s="127" t="n"/>
    </row>
    <row r="220">
      <c r="A220" s="133" t="n"/>
      <c r="G220" s="127" t="n"/>
      <c r="H220" s="127" t="n"/>
    </row>
    <row r="221">
      <c r="A221" s="133" t="n"/>
      <c r="G221" s="127" t="n"/>
      <c r="H221" s="127" t="n"/>
    </row>
    <row r="222">
      <c r="A222" s="133" t="n"/>
      <c r="G222" s="127" t="n"/>
      <c r="H222" s="127" t="n"/>
    </row>
    <row r="223">
      <c r="A223" s="133" t="n"/>
      <c r="G223" s="127" t="n"/>
      <c r="H223" s="127" t="n"/>
    </row>
    <row r="224">
      <c r="A224" s="133" t="n"/>
      <c r="G224" s="127" t="n"/>
      <c r="H224" s="127" t="n"/>
    </row>
    <row r="225">
      <c r="A225" s="133" t="n"/>
      <c r="G225" s="127" t="n"/>
      <c r="H225" s="127" t="n"/>
    </row>
    <row r="226">
      <c r="A226" s="133" t="n"/>
      <c r="G226" s="127" t="n"/>
      <c r="H226" s="127" t="n"/>
    </row>
    <row r="227">
      <c r="A227" s="133" t="n"/>
      <c r="G227" s="127" t="n"/>
      <c r="H227" s="127" t="n"/>
    </row>
    <row r="228">
      <c r="A228" s="133" t="n"/>
      <c r="G228" s="127" t="n"/>
      <c r="H228" s="127" t="n"/>
    </row>
    <row r="229">
      <c r="A229" s="133" t="n"/>
      <c r="G229" s="127" t="n"/>
      <c r="H229" s="127" t="n"/>
    </row>
    <row r="230">
      <c r="A230" s="133" t="n"/>
      <c r="G230" s="127" t="n"/>
      <c r="H230" s="127" t="n"/>
    </row>
    <row r="231">
      <c r="A231" s="133" t="n"/>
      <c r="G231" s="127" t="n"/>
      <c r="H231" s="127" t="n"/>
    </row>
    <row r="232">
      <c r="A232" s="133" t="n"/>
      <c r="G232" s="127" t="n"/>
      <c r="H232" s="127" t="n"/>
    </row>
    <row r="233">
      <c r="A233" s="133" t="n"/>
      <c r="G233" s="127" t="n"/>
      <c r="H233" s="127" t="n"/>
    </row>
    <row r="234">
      <c r="A234" s="133" t="n"/>
      <c r="G234" s="127" t="n"/>
      <c r="H234" s="127" t="n"/>
    </row>
    <row r="235">
      <c r="A235" s="133" t="n"/>
      <c r="G235" s="127" t="n"/>
      <c r="H235" s="127" t="n"/>
    </row>
    <row r="236">
      <c r="A236" s="133" t="n"/>
      <c r="G236" s="127" t="n"/>
      <c r="H236" s="127" t="n"/>
    </row>
    <row r="237">
      <c r="A237" s="133" t="n"/>
      <c r="G237" s="127" t="n"/>
      <c r="H237" s="127" t="n"/>
    </row>
    <row r="238">
      <c r="A238" s="133" t="n"/>
      <c r="G238" s="127" t="n"/>
      <c r="H238" s="127" t="n"/>
    </row>
    <row r="239">
      <c r="A239" s="133" t="n"/>
      <c r="G239" s="127" t="n"/>
      <c r="H239" s="127" t="n"/>
    </row>
    <row r="240">
      <c r="A240" s="133" t="n"/>
      <c r="G240" s="127" t="n"/>
      <c r="H240" s="127" t="n"/>
    </row>
    <row r="241">
      <c r="A241" s="133" t="n"/>
      <c r="G241" s="127" t="n"/>
      <c r="H241" s="127" t="n"/>
    </row>
    <row r="242">
      <c r="A242" s="133" t="n"/>
      <c r="G242" s="127" t="n"/>
      <c r="H242" s="127" t="n"/>
    </row>
    <row r="243">
      <c r="A243" s="133" t="n"/>
      <c r="G243" s="127" t="n"/>
      <c r="H243" s="127" t="n"/>
    </row>
    <row r="244">
      <c r="A244" s="133" t="n"/>
      <c r="G244" s="127" t="n"/>
      <c r="H244" s="127" t="n"/>
    </row>
    <row r="245">
      <c r="A245" s="133" t="n"/>
      <c r="G245" s="127" t="n"/>
      <c r="H245" s="127" t="n"/>
    </row>
    <row r="246">
      <c r="A246" s="133" t="n"/>
      <c r="G246" s="127" t="n"/>
      <c r="H246" s="127" t="n"/>
    </row>
    <row r="247">
      <c r="A247" s="133" t="n"/>
      <c r="G247" s="127" t="n"/>
      <c r="H247" s="127" t="n"/>
    </row>
    <row r="248">
      <c r="A248" s="133" t="n"/>
      <c r="G248" s="127" t="n"/>
      <c r="H248" s="127" t="n"/>
    </row>
    <row r="249">
      <c r="A249" s="133" t="n"/>
      <c r="G249" s="127" t="n"/>
      <c r="H249" s="127" t="n"/>
    </row>
    <row r="250">
      <c r="A250" s="133" t="n"/>
      <c r="G250" s="127" t="n"/>
      <c r="H250" s="127" t="n"/>
    </row>
    <row r="251">
      <c r="A251" s="133" t="n"/>
      <c r="G251" s="127" t="n"/>
      <c r="H251" s="127" t="n"/>
    </row>
    <row r="252">
      <c r="A252" s="133" t="n"/>
      <c r="G252" s="127" t="n"/>
      <c r="H252" s="127" t="n"/>
    </row>
    <row r="253">
      <c r="A253" s="133" t="n"/>
      <c r="G253" s="127" t="n"/>
      <c r="H253" s="127" t="n"/>
    </row>
    <row r="254">
      <c r="A254" s="133" t="n"/>
      <c r="G254" s="127" t="n"/>
      <c r="H254" s="127" t="n"/>
    </row>
    <row r="255">
      <c r="A255" s="133" t="n"/>
      <c r="G255" s="127" t="n"/>
      <c r="H255" s="127" t="n"/>
    </row>
    <row r="256">
      <c r="A256" s="133" t="n"/>
      <c r="G256" s="127" t="n"/>
      <c r="H256" s="127" t="n"/>
    </row>
    <row r="257">
      <c r="A257" s="133" t="n"/>
      <c r="G257" s="127" t="n"/>
      <c r="H257" s="127" t="n"/>
    </row>
    <row r="258">
      <c r="A258" s="133" t="n"/>
      <c r="G258" s="127" t="n"/>
      <c r="H258" s="127" t="n"/>
    </row>
    <row r="259">
      <c r="A259" s="133" t="n"/>
      <c r="G259" s="127" t="n"/>
      <c r="H259" s="127" t="n"/>
    </row>
    <row r="260">
      <c r="A260" s="133" t="n"/>
      <c r="G260" s="127" t="n"/>
      <c r="H260" s="127" t="n"/>
    </row>
    <row r="261">
      <c r="A261" s="133" t="n"/>
      <c r="G261" s="127" t="n"/>
      <c r="H261" s="127" t="n"/>
    </row>
    <row r="262">
      <c r="A262" s="133" t="n"/>
      <c r="G262" s="127" t="n"/>
      <c r="H262" s="127" t="n"/>
    </row>
    <row r="263">
      <c r="A263" s="133" t="n"/>
      <c r="G263" s="127" t="n"/>
      <c r="H263" s="127" t="n"/>
    </row>
    <row r="264">
      <c r="A264" s="133" t="n"/>
      <c r="G264" s="127" t="n"/>
      <c r="H264" s="127" t="n"/>
    </row>
    <row r="265">
      <c r="A265" s="133" t="n"/>
      <c r="G265" s="127" t="n"/>
      <c r="H265" s="127" t="n"/>
    </row>
    <row r="266">
      <c r="A266" s="133" t="n"/>
      <c r="G266" s="127" t="n"/>
      <c r="H266" s="127" t="n"/>
    </row>
    <row r="267">
      <c r="A267" s="133" t="n"/>
      <c r="G267" s="127" t="n"/>
      <c r="H267" s="127" t="n"/>
    </row>
    <row r="268">
      <c r="A268" s="133" t="n"/>
      <c r="G268" s="127" t="n"/>
      <c r="H268" s="127" t="n"/>
    </row>
    <row r="269">
      <c r="A269" s="133" t="n"/>
      <c r="G269" s="127" t="n"/>
      <c r="H269" s="127" t="n"/>
    </row>
    <row r="270">
      <c r="A270" s="133" t="n"/>
      <c r="G270" s="127" t="n"/>
      <c r="H270" s="127" t="n"/>
    </row>
    <row r="271">
      <c r="A271" s="133" t="n"/>
      <c r="G271" s="127" t="n"/>
      <c r="H271" s="127" t="n"/>
    </row>
    <row r="272">
      <c r="A272" s="133" t="n"/>
      <c r="G272" s="127" t="n"/>
      <c r="H272" s="127" t="n"/>
    </row>
    <row r="273">
      <c r="A273" s="133" t="n"/>
      <c r="G273" s="127" t="n"/>
      <c r="H273" s="127" t="n"/>
    </row>
    <row r="274">
      <c r="A274" s="133" t="n"/>
      <c r="G274" s="127" t="n"/>
      <c r="H274" s="127" t="n"/>
    </row>
    <row r="275">
      <c r="A275" s="133" t="n"/>
      <c r="G275" s="127" t="n"/>
      <c r="H275" s="127" t="n"/>
    </row>
    <row r="276">
      <c r="A276" s="133" t="n"/>
      <c r="G276" s="127" t="n"/>
      <c r="H276" s="127" t="n"/>
    </row>
    <row r="277">
      <c r="A277" s="133" t="n"/>
      <c r="G277" s="127" t="n"/>
      <c r="H277" s="127" t="n"/>
    </row>
    <row r="278">
      <c r="A278" s="133" t="n"/>
      <c r="G278" s="127" t="n"/>
      <c r="H278" s="127" t="n"/>
    </row>
    <row r="279">
      <c r="A279" s="133" t="n"/>
      <c r="G279" s="127" t="n"/>
      <c r="H279" s="127" t="n"/>
    </row>
    <row r="280">
      <c r="A280" s="133" t="n"/>
      <c r="G280" s="127" t="n"/>
      <c r="H280" s="127" t="n"/>
    </row>
    <row r="281">
      <c r="A281" s="133" t="n"/>
      <c r="G281" s="127" t="n"/>
      <c r="H281" s="127" t="n"/>
    </row>
    <row r="282">
      <c r="A282" s="133" t="n"/>
      <c r="G282" s="127" t="n"/>
      <c r="H282" s="127" t="n"/>
    </row>
    <row r="283">
      <c r="A283" s="133" t="n"/>
      <c r="G283" s="127" t="n"/>
      <c r="H283" s="127" t="n"/>
    </row>
    <row r="284">
      <c r="A284" s="133" t="n"/>
      <c r="G284" s="127" t="n"/>
      <c r="H284" s="127" t="n"/>
    </row>
    <row r="285">
      <c r="A285" s="133" t="n"/>
      <c r="G285" s="127" t="n"/>
      <c r="H285" s="127" t="n"/>
    </row>
    <row r="286">
      <c r="A286" s="133" t="n"/>
      <c r="G286" s="127" t="n"/>
      <c r="H286" s="127" t="n"/>
    </row>
    <row r="287">
      <c r="A287" s="133" t="n"/>
      <c r="G287" s="127" t="n"/>
      <c r="H287" s="127" t="n"/>
    </row>
    <row r="288">
      <c r="A288" s="133" t="n"/>
      <c r="G288" s="127" t="n"/>
      <c r="H288" s="127" t="n"/>
    </row>
    <row r="289">
      <c r="A289" s="133" t="n"/>
      <c r="G289" s="127" t="n"/>
      <c r="H289" s="127" t="n"/>
    </row>
    <row r="290">
      <c r="A290" s="133" t="n"/>
      <c r="G290" s="127" t="n"/>
      <c r="H290" s="127" t="n"/>
    </row>
    <row r="291">
      <c r="A291" s="133" t="n"/>
      <c r="G291" s="127" t="n"/>
      <c r="H291" s="127" t="n"/>
    </row>
    <row r="292">
      <c r="A292" s="133" t="n"/>
      <c r="G292" s="127" t="n"/>
      <c r="H292" s="127" t="n"/>
    </row>
    <row r="293">
      <c r="A293" s="133" t="n"/>
      <c r="G293" s="127" t="n"/>
      <c r="H293" s="127" t="n"/>
    </row>
    <row r="294">
      <c r="A294" s="133" t="n"/>
      <c r="G294" s="127" t="n"/>
      <c r="H294" s="127" t="n"/>
    </row>
    <row r="295">
      <c r="A295" s="133" t="n"/>
      <c r="G295" s="127" t="n"/>
      <c r="H295" s="127" t="n"/>
    </row>
    <row r="296">
      <c r="A296" s="133" t="n"/>
      <c r="G296" s="127" t="n"/>
      <c r="H296" s="127" t="n"/>
    </row>
    <row r="297">
      <c r="A297" s="133" t="n"/>
      <c r="G297" s="127" t="n"/>
      <c r="H297" s="127" t="n"/>
    </row>
    <row r="298">
      <c r="A298" s="133" t="n"/>
      <c r="G298" s="127" t="n"/>
      <c r="H298" s="127" t="n"/>
    </row>
    <row r="299">
      <c r="A299" s="133" t="n"/>
      <c r="G299" s="127" t="n"/>
      <c r="H299" s="127" t="n"/>
    </row>
    <row r="300">
      <c r="A300" s="133" t="n"/>
      <c r="G300" s="127" t="n"/>
      <c r="H300" s="127" t="n"/>
    </row>
    <row r="301">
      <c r="A301" s="133" t="n"/>
      <c r="G301" s="127" t="n"/>
      <c r="H301" s="127" t="n"/>
    </row>
    <row r="302">
      <c r="A302" s="133" t="n"/>
      <c r="G302" s="127" t="n"/>
      <c r="H302" s="127" t="n"/>
    </row>
    <row r="303">
      <c r="A303" s="133" t="n"/>
      <c r="G303" s="127" t="n"/>
      <c r="H303" s="127" t="n"/>
    </row>
    <row r="304">
      <c r="A304" s="133" t="n"/>
      <c r="G304" s="127" t="n"/>
      <c r="H304" s="127" t="n"/>
    </row>
    <row r="305">
      <c r="A305" s="133" t="n"/>
      <c r="G305" s="127" t="n"/>
      <c r="H305" s="127" t="n"/>
    </row>
    <row r="306">
      <c r="A306" s="133" t="n"/>
      <c r="G306" s="127" t="n"/>
      <c r="H306" s="127" t="n"/>
    </row>
    <row r="307">
      <c r="A307" s="133" t="n"/>
      <c r="G307" s="127" t="n"/>
      <c r="H307" s="127" t="n"/>
    </row>
    <row r="308">
      <c r="A308" s="133" t="n"/>
      <c r="G308" s="127" t="n"/>
      <c r="H308" s="127" t="n"/>
    </row>
    <row r="309">
      <c r="A309" s="133" t="n"/>
      <c r="G309" s="127" t="n"/>
      <c r="H309" s="127" t="n"/>
    </row>
    <row r="310">
      <c r="A310" s="133" t="n"/>
      <c r="G310" s="127" t="n"/>
      <c r="H310" s="127" t="n"/>
    </row>
    <row r="311">
      <c r="A311" s="133" t="n"/>
      <c r="G311" s="127" t="n"/>
      <c r="H311" s="127" t="n"/>
    </row>
    <row r="312">
      <c r="A312" s="133" t="n"/>
      <c r="G312" s="127" t="n"/>
      <c r="H312" s="127" t="n"/>
    </row>
    <row r="313">
      <c r="A313" s="133" t="n"/>
      <c r="G313" s="127" t="n"/>
      <c r="H313" s="127" t="n"/>
    </row>
    <row r="314">
      <c r="A314" s="133" t="n"/>
      <c r="G314" s="127" t="n"/>
      <c r="H314" s="127" t="n"/>
    </row>
    <row r="315">
      <c r="A315" s="133" t="n"/>
      <c r="G315" s="127" t="n"/>
      <c r="H315" s="127" t="n"/>
    </row>
    <row r="316">
      <c r="A316" s="133" t="n"/>
      <c r="G316" s="127" t="n"/>
      <c r="H316" s="127" t="n"/>
    </row>
    <row r="317">
      <c r="A317" s="133" t="n"/>
      <c r="G317" s="127" t="n"/>
      <c r="H317" s="127" t="n"/>
    </row>
    <row r="318">
      <c r="A318" s="133" t="n"/>
      <c r="G318" s="127" t="n"/>
      <c r="H318" s="127" t="n"/>
    </row>
    <row r="319">
      <c r="A319" s="133" t="n"/>
      <c r="G319" s="127" t="n"/>
      <c r="H319" s="127" t="n"/>
    </row>
    <row r="320">
      <c r="A320" s="133" t="n"/>
      <c r="G320" s="127" t="n"/>
      <c r="H320" s="127" t="n"/>
    </row>
    <row r="321">
      <c r="A321" s="133" t="n"/>
      <c r="G321" s="127" t="n"/>
      <c r="H321" s="127" t="n"/>
    </row>
    <row r="322">
      <c r="A322" s="133" t="n"/>
      <c r="G322" s="127" t="n"/>
      <c r="H322" s="127" t="n"/>
    </row>
    <row r="323">
      <c r="A323" s="133" t="n"/>
      <c r="G323" s="127" t="n"/>
      <c r="H323" s="127" t="n"/>
    </row>
    <row r="324">
      <c r="A324" s="133" t="n"/>
      <c r="G324" s="127" t="n"/>
      <c r="H324" s="127" t="n"/>
    </row>
    <row r="325">
      <c r="A325" s="133" t="n"/>
      <c r="G325" s="127" t="n"/>
      <c r="H325" s="127" t="n"/>
    </row>
    <row r="326">
      <c r="A326" s="133" t="n"/>
      <c r="G326" s="127" t="n"/>
      <c r="H326" s="127" t="n"/>
    </row>
    <row r="327">
      <c r="A327" s="133" t="n"/>
      <c r="G327" s="127" t="n"/>
      <c r="H327" s="127" t="n"/>
    </row>
    <row r="328">
      <c r="A328" s="133" t="n"/>
      <c r="G328" s="127" t="n"/>
      <c r="H328" s="127" t="n"/>
    </row>
    <row r="329">
      <c r="A329" s="133" t="n"/>
      <c r="G329" s="127" t="n"/>
      <c r="H329" s="127" t="n"/>
    </row>
    <row r="330">
      <c r="A330" s="133" t="n"/>
      <c r="G330" s="127" t="n"/>
      <c r="H330" s="127" t="n"/>
    </row>
    <row r="331">
      <c r="A331" s="133" t="n"/>
      <c r="G331" s="127" t="n"/>
      <c r="H331" s="127" t="n"/>
    </row>
    <row r="332">
      <c r="A332" s="133" t="n"/>
      <c r="G332" s="127" t="n"/>
      <c r="H332" s="127" t="n"/>
    </row>
    <row r="333">
      <c r="A333" s="133" t="n"/>
      <c r="G333" s="127" t="n"/>
      <c r="H333" s="127" t="n"/>
    </row>
    <row r="334">
      <c r="A334" s="133" t="n"/>
      <c r="G334" s="127" t="n"/>
      <c r="H334" s="127" t="n"/>
    </row>
    <row r="335">
      <c r="A335" s="133" t="n"/>
      <c r="G335" s="127" t="n"/>
      <c r="H335" s="127" t="n"/>
    </row>
    <row r="336">
      <c r="A336" s="133" t="n"/>
      <c r="G336" s="127" t="n"/>
      <c r="H336" s="127" t="n"/>
    </row>
    <row r="337">
      <c r="A337" s="133" t="n"/>
      <c r="G337" s="127" t="n"/>
      <c r="H337" s="127" t="n"/>
    </row>
    <row r="338">
      <c r="A338" s="133" t="n"/>
      <c r="G338" s="127" t="n"/>
      <c r="H338" s="127" t="n"/>
    </row>
    <row r="339">
      <c r="A339" s="133" t="n"/>
      <c r="G339" s="127" t="n"/>
      <c r="H339" s="127" t="n"/>
    </row>
    <row r="340">
      <c r="A340" s="133" t="n"/>
      <c r="G340" s="127" t="n"/>
      <c r="H340" s="127" t="n"/>
    </row>
    <row r="341">
      <c r="A341" s="133" t="n"/>
      <c r="G341" s="127" t="n"/>
      <c r="H341" s="127" t="n"/>
    </row>
    <row r="342">
      <c r="A342" s="133" t="n"/>
      <c r="G342" s="127" t="n"/>
      <c r="H342" s="127" t="n"/>
    </row>
    <row r="343">
      <c r="A343" s="133" t="n"/>
      <c r="G343" s="127" t="n"/>
      <c r="H343" s="127" t="n"/>
    </row>
    <row r="344">
      <c r="A344" s="133" t="n"/>
      <c r="G344" s="127" t="n"/>
      <c r="H344" s="127" t="n"/>
    </row>
    <row r="345">
      <c r="A345" s="133" t="n"/>
      <c r="G345" s="127" t="n"/>
      <c r="H345" s="127" t="n"/>
    </row>
    <row r="346">
      <c r="A346" s="133" t="n"/>
      <c r="G346" s="127" t="n"/>
      <c r="H346" s="127" t="n"/>
    </row>
    <row r="347">
      <c r="A347" s="133" t="n"/>
      <c r="G347" s="127" t="n"/>
      <c r="H347" s="127" t="n"/>
    </row>
    <row r="348">
      <c r="A348" s="133" t="n"/>
      <c r="G348" s="127" t="n"/>
      <c r="H348" s="127" t="n"/>
    </row>
    <row r="349">
      <c r="A349" s="133" t="n"/>
      <c r="G349" s="127" t="n"/>
      <c r="H349" s="127" t="n"/>
    </row>
    <row r="350">
      <c r="A350" s="133" t="n"/>
      <c r="G350" s="127" t="n"/>
      <c r="H350" s="127" t="n"/>
    </row>
    <row r="351">
      <c r="A351" s="133" t="n"/>
      <c r="G351" s="127" t="n"/>
      <c r="H351" s="127" t="n"/>
    </row>
    <row r="352">
      <c r="A352" s="133" t="n"/>
      <c r="G352" s="127" t="n"/>
      <c r="H352" s="127" t="n"/>
    </row>
    <row r="353">
      <c r="A353" s="133" t="n"/>
      <c r="G353" s="127" t="n"/>
      <c r="H353" s="127" t="n"/>
    </row>
    <row r="354">
      <c r="A354" s="133" t="n"/>
      <c r="G354" s="127" t="n"/>
      <c r="H354" s="127" t="n"/>
    </row>
    <row r="355">
      <c r="A355" s="133" t="n"/>
      <c r="G355" s="127" t="n"/>
      <c r="H355" s="127" t="n"/>
    </row>
    <row r="356">
      <c r="A356" s="133" t="n"/>
      <c r="G356" s="127" t="n"/>
      <c r="H356" s="127" t="n"/>
    </row>
    <row r="357">
      <c r="A357" s="133" t="n"/>
      <c r="G357" s="127" t="n"/>
      <c r="H357" s="127" t="n"/>
    </row>
    <row r="358">
      <c r="A358" s="133" t="n"/>
      <c r="G358" s="127" t="n"/>
      <c r="H358" s="127" t="n"/>
    </row>
    <row r="359">
      <c r="A359" s="133" t="n"/>
      <c r="G359" s="127" t="n"/>
      <c r="H359" s="127" t="n"/>
    </row>
    <row r="360">
      <c r="A360" s="133" t="n"/>
      <c r="G360" s="127" t="n"/>
      <c r="H360" s="127" t="n"/>
    </row>
    <row r="361">
      <c r="A361" s="133" t="n"/>
      <c r="G361" s="127" t="n"/>
      <c r="H361" s="127" t="n"/>
    </row>
    <row r="362">
      <c r="A362" s="133" t="n"/>
      <c r="G362" s="127" t="n"/>
      <c r="H362" s="127" t="n"/>
    </row>
    <row r="363">
      <c r="A363" s="133" t="n"/>
      <c r="G363" s="127" t="n"/>
      <c r="H363" s="127" t="n"/>
    </row>
    <row r="364">
      <c r="A364" s="133" t="n"/>
      <c r="G364" s="127" t="n"/>
      <c r="H364" s="127" t="n"/>
    </row>
    <row r="365">
      <c r="A365" s="133" t="n"/>
      <c r="G365" s="127" t="n"/>
      <c r="H365" s="127" t="n"/>
    </row>
    <row r="366">
      <c r="A366" s="133" t="n"/>
      <c r="G366" s="127" t="n"/>
      <c r="H366" s="127" t="n"/>
    </row>
    <row r="367">
      <c r="A367" s="133" t="n"/>
      <c r="G367" s="127" t="n"/>
      <c r="H367" s="127" t="n"/>
    </row>
    <row r="368">
      <c r="A368" s="133" t="n"/>
      <c r="G368" s="127" t="n"/>
      <c r="H368" s="127" t="n"/>
    </row>
    <row r="369">
      <c r="A369" s="133" t="n"/>
      <c r="G369" s="127" t="n"/>
      <c r="H369" s="127" t="n"/>
    </row>
    <row r="370">
      <c r="A370" s="133" t="n"/>
      <c r="G370" s="127" t="n"/>
      <c r="H370" s="127" t="n"/>
    </row>
    <row r="371">
      <c r="A371" s="133" t="n"/>
      <c r="G371" s="127" t="n"/>
      <c r="H371" s="127" t="n"/>
    </row>
    <row r="372">
      <c r="A372" s="133" t="n"/>
      <c r="G372" s="127" t="n"/>
      <c r="H372" s="127" t="n"/>
    </row>
    <row r="373">
      <c r="A373" s="133" t="n"/>
      <c r="G373" s="127" t="n"/>
      <c r="H373" s="127" t="n"/>
    </row>
    <row r="374">
      <c r="A374" s="133" t="n"/>
      <c r="G374" s="127" t="n"/>
      <c r="H374" s="127" t="n"/>
    </row>
    <row r="375">
      <c r="A375" s="133" t="n"/>
      <c r="G375" s="127" t="n"/>
      <c r="H375" s="127" t="n"/>
    </row>
    <row r="376">
      <c r="A376" s="133" t="n"/>
      <c r="G376" s="127" t="n"/>
      <c r="H376" s="127" t="n"/>
    </row>
    <row r="377">
      <c r="A377" s="133" t="n"/>
      <c r="G377" s="127" t="n"/>
      <c r="H377" s="127" t="n"/>
    </row>
    <row r="378">
      <c r="A378" s="133" t="n"/>
      <c r="G378" s="127" t="n"/>
      <c r="H378" s="127" t="n"/>
    </row>
    <row r="379">
      <c r="A379" s="133" t="n"/>
      <c r="G379" s="127" t="n"/>
      <c r="H379" s="127" t="n"/>
    </row>
    <row r="380">
      <c r="A380" s="133" t="n"/>
      <c r="G380" s="127" t="n"/>
      <c r="H380" s="127" t="n"/>
    </row>
    <row r="381">
      <c r="A381" s="133" t="n"/>
      <c r="G381" s="127" t="n"/>
      <c r="H381" s="127" t="n"/>
    </row>
    <row r="382">
      <c r="A382" s="133" t="n"/>
      <c r="G382" s="127" t="n"/>
      <c r="H382" s="127" t="n"/>
    </row>
    <row r="383">
      <c r="A383" s="133" t="n"/>
      <c r="G383" s="127" t="n"/>
      <c r="H383" s="127" t="n"/>
    </row>
    <row r="384">
      <c r="A384" s="133" t="n"/>
      <c r="G384" s="127" t="n"/>
      <c r="H384" s="127" t="n"/>
    </row>
    <row r="385">
      <c r="A385" s="133" t="n"/>
      <c r="G385" s="127" t="n"/>
      <c r="H385" s="127" t="n"/>
    </row>
    <row r="386">
      <c r="A386" s="133" t="n"/>
      <c r="G386" s="127" t="n"/>
      <c r="H386" s="127" t="n"/>
    </row>
    <row r="387">
      <c r="A387" s="133" t="n"/>
      <c r="G387" s="127" t="n"/>
      <c r="H387" s="127" t="n"/>
    </row>
    <row r="388">
      <c r="A388" s="133" t="n"/>
      <c r="G388" s="127" t="n"/>
      <c r="H388" s="127" t="n"/>
    </row>
    <row r="389">
      <c r="A389" s="133" t="n"/>
      <c r="G389" s="127" t="n"/>
      <c r="H389" s="127" t="n"/>
    </row>
    <row r="390">
      <c r="A390" s="133" t="n"/>
      <c r="G390" s="127" t="n"/>
      <c r="H390" s="127" t="n"/>
    </row>
    <row r="391">
      <c r="A391" s="133" t="n"/>
      <c r="G391" s="127" t="n"/>
      <c r="H391" s="127" t="n"/>
    </row>
    <row r="392">
      <c r="A392" s="133" t="n"/>
      <c r="G392" s="127" t="n"/>
      <c r="H392" s="127" t="n"/>
    </row>
    <row r="393">
      <c r="A393" s="133" t="n"/>
      <c r="G393" s="127" t="n"/>
      <c r="H393" s="127" t="n"/>
    </row>
    <row r="394">
      <c r="A394" s="133" t="n"/>
      <c r="G394" s="127" t="n"/>
      <c r="H394" s="127" t="n"/>
    </row>
    <row r="395">
      <c r="A395" s="133" t="n"/>
      <c r="G395" s="127" t="n"/>
      <c r="H395" s="127" t="n"/>
    </row>
    <row r="396">
      <c r="A396" s="133" t="n"/>
      <c r="G396" s="127" t="n"/>
      <c r="H396" s="127" t="n"/>
    </row>
    <row r="397">
      <c r="A397" s="133" t="n"/>
      <c r="G397" s="127" t="n"/>
      <c r="H397" s="127" t="n"/>
    </row>
    <row r="398">
      <c r="A398" s="133" t="n"/>
      <c r="G398" s="127" t="n"/>
      <c r="H398" s="127" t="n"/>
    </row>
    <row r="399">
      <c r="A399" s="133" t="n"/>
      <c r="G399" s="127" t="n"/>
      <c r="H399" s="127" t="n"/>
    </row>
    <row r="400">
      <c r="A400" s="133" t="n"/>
      <c r="G400" s="127" t="n"/>
      <c r="H400" s="127" t="n"/>
    </row>
    <row r="401">
      <c r="A401" s="133" t="n"/>
      <c r="G401" s="127" t="n"/>
      <c r="H401" s="127" t="n"/>
    </row>
    <row r="402">
      <c r="A402" s="133" t="n"/>
      <c r="G402" s="127" t="n"/>
      <c r="H402" s="127" t="n"/>
    </row>
    <row r="403">
      <c r="A403" s="133" t="n"/>
      <c r="G403" s="127" t="n"/>
      <c r="H403" s="127" t="n"/>
    </row>
    <row r="404">
      <c r="A404" s="133" t="n"/>
      <c r="G404" s="127" t="n"/>
      <c r="H404" s="127" t="n"/>
    </row>
    <row r="405">
      <c r="A405" s="133" t="n"/>
      <c r="G405" s="127" t="n"/>
      <c r="H405" s="127" t="n"/>
    </row>
    <row r="406">
      <c r="A406" s="133" t="n"/>
      <c r="G406" s="127" t="n"/>
      <c r="H406" s="127" t="n"/>
    </row>
    <row r="407">
      <c r="A407" s="133" t="n"/>
      <c r="G407" s="127" t="n"/>
      <c r="H407" s="127" t="n"/>
    </row>
    <row r="408">
      <c r="A408" s="133" t="n"/>
      <c r="G408" s="127" t="n"/>
      <c r="H408" s="127" t="n"/>
    </row>
    <row r="409">
      <c r="A409" s="133" t="n"/>
      <c r="G409" s="127" t="n"/>
      <c r="H409" s="127" t="n"/>
    </row>
    <row r="410">
      <c r="A410" s="133" t="n"/>
      <c r="G410" s="127" t="n"/>
      <c r="H410" s="127" t="n"/>
    </row>
    <row r="411">
      <c r="A411" s="133" t="n"/>
      <c r="G411" s="127" t="n"/>
      <c r="H411" s="127" t="n"/>
    </row>
    <row r="412">
      <c r="A412" s="133" t="n"/>
      <c r="G412" s="127" t="n"/>
      <c r="H412" s="127" t="n"/>
    </row>
    <row r="413">
      <c r="A413" s="133" t="n"/>
      <c r="G413" s="127" t="n"/>
      <c r="H413" s="127" t="n"/>
    </row>
    <row r="414">
      <c r="A414" s="133" t="n"/>
      <c r="G414" s="127" t="n"/>
      <c r="H414" s="127" t="n"/>
    </row>
    <row r="415">
      <c r="A415" s="133" t="n"/>
      <c r="G415" s="127" t="n"/>
      <c r="H415" s="127" t="n"/>
    </row>
    <row r="416">
      <c r="A416" s="133" t="n"/>
      <c r="G416" s="127" t="n"/>
      <c r="H416" s="127" t="n"/>
    </row>
    <row r="417">
      <c r="A417" s="133" t="n"/>
      <c r="G417" s="127" t="n"/>
      <c r="H417" s="127" t="n"/>
    </row>
    <row r="418">
      <c r="A418" s="133" t="n"/>
      <c r="G418" s="127" t="n"/>
      <c r="H418" s="127" t="n"/>
    </row>
    <row r="419">
      <c r="A419" s="133" t="n"/>
      <c r="G419" s="127" t="n"/>
      <c r="H419" s="127" t="n"/>
    </row>
    <row r="420">
      <c r="A420" s="133" t="n"/>
      <c r="G420" s="127" t="n"/>
      <c r="H420" s="127" t="n"/>
    </row>
    <row r="421">
      <c r="A421" s="133" t="n"/>
      <c r="G421" s="127" t="n"/>
      <c r="H421" s="127" t="n"/>
    </row>
    <row r="422">
      <c r="A422" s="133" t="n"/>
      <c r="G422" s="127" t="n"/>
      <c r="H422" s="127" t="n"/>
    </row>
    <row r="423">
      <c r="A423" s="133" t="n"/>
      <c r="G423" s="127" t="n"/>
      <c r="H423" s="127" t="n"/>
    </row>
    <row r="424">
      <c r="A424" s="133" t="n"/>
      <c r="G424" s="127" t="n"/>
      <c r="H424" s="127" t="n"/>
    </row>
    <row r="425">
      <c r="A425" s="133" t="n"/>
      <c r="G425" s="127" t="n"/>
      <c r="H425" s="127" t="n"/>
    </row>
    <row r="426">
      <c r="A426" s="133" t="n"/>
      <c r="G426" s="127" t="n"/>
      <c r="H426" s="127" t="n"/>
    </row>
    <row r="427">
      <c r="A427" s="133" t="n"/>
      <c r="G427" s="127" t="n"/>
      <c r="H427" s="127" t="n"/>
    </row>
    <row r="428">
      <c r="A428" s="133" t="n"/>
      <c r="G428" s="127" t="n"/>
      <c r="H428" s="127" t="n"/>
    </row>
    <row r="429">
      <c r="A429" s="133" t="n"/>
      <c r="G429" s="127" t="n"/>
      <c r="H429" s="127" t="n"/>
    </row>
    <row r="430">
      <c r="A430" s="133" t="n"/>
      <c r="G430" s="127" t="n"/>
      <c r="H430" s="127" t="n"/>
    </row>
    <row r="431">
      <c r="A431" s="133" t="n"/>
      <c r="G431" s="127" t="n"/>
      <c r="H431" s="127" t="n"/>
    </row>
    <row r="432">
      <c r="A432" s="133" t="n"/>
      <c r="G432" s="127" t="n"/>
      <c r="H432" s="127" t="n"/>
    </row>
    <row r="433">
      <c r="A433" s="133" t="n"/>
      <c r="G433" s="127" t="n"/>
      <c r="H433" s="127" t="n"/>
    </row>
    <row r="434">
      <c r="A434" s="133" t="n"/>
      <c r="G434" s="127" t="n"/>
      <c r="H434" s="127" t="n"/>
    </row>
    <row r="435">
      <c r="A435" s="133" t="n"/>
      <c r="G435" s="127" t="n"/>
      <c r="H435" s="127" t="n"/>
    </row>
    <row r="436">
      <c r="A436" s="133" t="n"/>
      <c r="G436" s="127" t="n"/>
      <c r="H436" s="127" t="n"/>
    </row>
    <row r="437">
      <c r="A437" s="133" t="n"/>
      <c r="G437" s="127" t="n"/>
      <c r="H437" s="127" t="n"/>
    </row>
    <row r="438">
      <c r="A438" s="133" t="n"/>
      <c r="G438" s="127" t="n"/>
      <c r="H438" s="127" t="n"/>
    </row>
    <row r="439">
      <c r="A439" s="133" t="n"/>
      <c r="G439" s="127" t="n"/>
      <c r="H439" s="127" t="n"/>
    </row>
    <row r="440">
      <c r="A440" s="133" t="n"/>
      <c r="G440" s="127" t="n"/>
      <c r="H440" s="127" t="n"/>
    </row>
    <row r="441">
      <c r="A441" s="133" t="n"/>
      <c r="G441" s="127" t="n"/>
      <c r="H441" s="127" t="n"/>
    </row>
    <row r="442">
      <c r="A442" s="133" t="n"/>
      <c r="G442" s="127" t="n"/>
      <c r="H442" s="127" t="n"/>
    </row>
    <row r="443">
      <c r="A443" s="133" t="n"/>
      <c r="G443" s="127" t="n"/>
      <c r="H443" s="127" t="n"/>
    </row>
    <row r="444">
      <c r="A444" s="133" t="n"/>
      <c r="G444" s="127" t="n"/>
      <c r="H444" s="127" t="n"/>
    </row>
    <row r="445">
      <c r="A445" s="133" t="n"/>
      <c r="G445" s="127" t="n"/>
      <c r="H445" s="127" t="n"/>
    </row>
    <row r="446">
      <c r="A446" s="133" t="n"/>
      <c r="G446" s="127" t="n"/>
      <c r="H446" s="127" t="n"/>
    </row>
    <row r="447">
      <c r="A447" s="133" t="n"/>
      <c r="G447" s="127" t="n"/>
      <c r="H447" s="127" t="n"/>
    </row>
    <row r="448">
      <c r="A448" s="133" t="n"/>
      <c r="G448" s="127" t="n"/>
      <c r="H448" s="127" t="n"/>
    </row>
    <row r="449">
      <c r="A449" s="133" t="n"/>
      <c r="G449" s="127" t="n"/>
      <c r="H449" s="127" t="n"/>
    </row>
    <row r="450">
      <c r="A450" s="133" t="n"/>
      <c r="G450" s="127" t="n"/>
      <c r="H450" s="127" t="n"/>
    </row>
    <row r="451">
      <c r="A451" s="133" t="n"/>
      <c r="G451" s="127" t="n"/>
      <c r="H451" s="127" t="n"/>
    </row>
    <row r="452">
      <c r="A452" s="133" t="n"/>
      <c r="G452" s="127" t="n"/>
      <c r="H452" s="127" t="n"/>
    </row>
    <row r="453">
      <c r="A453" s="133" t="n"/>
      <c r="G453" s="127" t="n"/>
      <c r="H453" s="127" t="n"/>
    </row>
    <row r="454">
      <c r="A454" s="133" t="n"/>
      <c r="G454" s="127" t="n"/>
      <c r="H454" s="127" t="n"/>
    </row>
    <row r="455">
      <c r="A455" s="133" t="n"/>
      <c r="G455" s="127" t="n"/>
      <c r="H455" s="127" t="n"/>
    </row>
    <row r="456">
      <c r="A456" s="133" t="n"/>
      <c r="G456" s="127" t="n"/>
      <c r="H456" s="127" t="n"/>
    </row>
    <row r="457">
      <c r="A457" s="133" t="n"/>
      <c r="G457" s="127" t="n"/>
      <c r="H457" s="127" t="n"/>
    </row>
    <row r="458">
      <c r="A458" s="133" t="n"/>
      <c r="G458" s="127" t="n"/>
      <c r="H458" s="127" t="n"/>
    </row>
    <row r="459">
      <c r="A459" s="133" t="n"/>
      <c r="G459" s="127" t="n"/>
      <c r="H459" s="127" t="n"/>
    </row>
    <row r="460">
      <c r="A460" s="133" t="n"/>
      <c r="G460" s="127" t="n"/>
      <c r="H460" s="127" t="n"/>
    </row>
    <row r="461">
      <c r="A461" s="133" t="n"/>
      <c r="G461" s="127" t="n"/>
      <c r="H461" s="127" t="n"/>
    </row>
    <row r="462">
      <c r="A462" s="133" t="n"/>
      <c r="G462" s="127" t="n"/>
      <c r="H462" s="127" t="n"/>
    </row>
    <row r="463">
      <c r="A463" s="133" t="n"/>
      <c r="G463" s="127" t="n"/>
      <c r="H463" s="127" t="n"/>
    </row>
    <row r="464">
      <c r="A464" s="133" t="n"/>
      <c r="G464" s="127" t="n"/>
      <c r="H464" s="127" t="n"/>
    </row>
    <row r="465">
      <c r="A465" s="133" t="n"/>
      <c r="G465" s="127" t="n"/>
      <c r="H465" s="127" t="n"/>
    </row>
    <row r="466">
      <c r="A466" s="133" t="n"/>
      <c r="G466" s="127" t="n"/>
      <c r="H466" s="127" t="n"/>
    </row>
    <row r="467">
      <c r="A467" s="133" t="n"/>
      <c r="G467" s="127" t="n"/>
      <c r="H467" s="127" t="n"/>
    </row>
    <row r="468">
      <c r="A468" s="133" t="n"/>
      <c r="G468" s="127" t="n"/>
      <c r="H468" s="127" t="n"/>
    </row>
    <row r="469">
      <c r="A469" s="133" t="n"/>
      <c r="G469" s="127" t="n"/>
      <c r="H469" s="127" t="n"/>
    </row>
    <row r="470">
      <c r="A470" s="133" t="n"/>
      <c r="G470" s="127" t="n"/>
      <c r="H470" s="127" t="n"/>
    </row>
    <row r="471">
      <c r="A471" s="133" t="n"/>
      <c r="G471" s="127" t="n"/>
      <c r="H471" s="127" t="n"/>
    </row>
    <row r="472">
      <c r="A472" s="133" t="n"/>
      <c r="G472" s="127" t="n"/>
      <c r="H472" s="127" t="n"/>
    </row>
    <row r="473">
      <c r="A473" s="133" t="n"/>
      <c r="G473" s="127" t="n"/>
      <c r="H473" s="127" t="n"/>
    </row>
    <row r="474">
      <c r="A474" s="133" t="n"/>
      <c r="G474" s="127" t="n"/>
      <c r="H474" s="127" t="n"/>
    </row>
    <row r="475">
      <c r="A475" s="133" t="n"/>
      <c r="G475" s="127" t="n"/>
      <c r="H475" s="127" t="n"/>
    </row>
    <row r="476">
      <c r="A476" s="133" t="n"/>
      <c r="G476" s="127" t="n"/>
      <c r="H476" s="127" t="n"/>
    </row>
    <row r="477">
      <c r="A477" s="133" t="n"/>
      <c r="G477" s="127" t="n"/>
      <c r="H477" s="127" t="n"/>
    </row>
    <row r="478">
      <c r="A478" s="133" t="n"/>
      <c r="G478" s="127" t="n"/>
      <c r="H478" s="127" t="n"/>
    </row>
    <row r="479">
      <c r="A479" s="133" t="n"/>
      <c r="G479" s="127" t="n"/>
      <c r="H479" s="127" t="n"/>
    </row>
    <row r="480">
      <c r="A480" s="133" t="n"/>
      <c r="G480" s="127" t="n"/>
      <c r="H480" s="127" t="n"/>
    </row>
    <row r="481">
      <c r="A481" s="133" t="n"/>
      <c r="G481" s="127" t="n"/>
      <c r="H481" s="127" t="n"/>
    </row>
    <row r="482">
      <c r="A482" s="133" t="n"/>
      <c r="G482" s="127" t="n"/>
      <c r="H482" s="127" t="n"/>
    </row>
    <row r="483">
      <c r="A483" s="133" t="n"/>
      <c r="G483" s="127" t="n"/>
      <c r="H483" s="127" t="n"/>
    </row>
    <row r="484">
      <c r="A484" s="133" t="n"/>
      <c r="G484" s="127" t="n"/>
      <c r="H484" s="127" t="n"/>
    </row>
    <row r="485">
      <c r="A485" s="133" t="n"/>
      <c r="G485" s="127" t="n"/>
      <c r="H485" s="127" t="n"/>
    </row>
    <row r="486">
      <c r="A486" s="133" t="n"/>
      <c r="G486" s="127" t="n"/>
      <c r="H486" s="127" t="n"/>
    </row>
    <row r="487">
      <c r="A487" s="133" t="n"/>
      <c r="G487" s="127" t="n"/>
      <c r="H487" s="127" t="n"/>
    </row>
    <row r="488">
      <c r="A488" s="133" t="n"/>
      <c r="G488" s="127" t="n"/>
      <c r="H488" s="127" t="n"/>
    </row>
    <row r="489">
      <c r="A489" s="133" t="n"/>
      <c r="G489" s="127" t="n"/>
      <c r="H489" s="127" t="n"/>
    </row>
    <row r="490">
      <c r="A490" s="133" t="n"/>
      <c r="G490" s="127" t="n"/>
      <c r="H490" s="127" t="n"/>
    </row>
    <row r="491">
      <c r="A491" s="133" t="n"/>
      <c r="G491" s="127" t="n"/>
      <c r="H491" s="127" t="n"/>
    </row>
    <row r="492">
      <c r="A492" s="133" t="n"/>
      <c r="G492" s="127" t="n"/>
      <c r="H492" s="127" t="n"/>
    </row>
    <row r="493">
      <c r="A493" s="133" t="n"/>
      <c r="G493" s="127" t="n"/>
      <c r="H493" s="127" t="n"/>
    </row>
    <row r="494">
      <c r="A494" s="133" t="n"/>
      <c r="G494" s="127" t="n"/>
      <c r="H494" s="127" t="n"/>
    </row>
    <row r="495">
      <c r="A495" s="133" t="n"/>
      <c r="G495" s="127" t="n"/>
      <c r="H495" s="127" t="n"/>
    </row>
    <row r="496">
      <c r="A496" s="133" t="n"/>
      <c r="G496" s="127" t="n"/>
      <c r="H496" s="127" t="n"/>
    </row>
    <row r="497">
      <c r="A497" s="133" t="n"/>
      <c r="G497" s="127" t="n"/>
      <c r="H497" s="127" t="n"/>
    </row>
    <row r="498">
      <c r="A498" s="133" t="n"/>
      <c r="G498" s="127" t="n"/>
      <c r="H498" s="127" t="n"/>
    </row>
    <row r="499">
      <c r="A499" s="133" t="n"/>
      <c r="G499" s="127" t="n"/>
      <c r="H499" s="127" t="n"/>
    </row>
    <row r="500">
      <c r="A500" s="133" t="n"/>
      <c r="G500" s="127" t="n"/>
      <c r="H500" s="127" t="n"/>
    </row>
    <row r="501">
      <c r="A501" s="133" t="n"/>
      <c r="G501" s="127" t="n"/>
      <c r="H501" s="127" t="n"/>
    </row>
    <row r="502">
      <c r="A502" s="133" t="n"/>
      <c r="G502" s="127" t="n"/>
      <c r="H502" s="127" t="n"/>
    </row>
    <row r="503">
      <c r="A503" s="133" t="n"/>
      <c r="G503" s="127" t="n"/>
      <c r="H503" s="127" t="n"/>
    </row>
    <row r="504">
      <c r="A504" s="133" t="n"/>
      <c r="G504" s="127" t="n"/>
      <c r="H504" s="127" t="n"/>
    </row>
  </sheetData>
  <mergeCells count="3">
    <mergeCell ref="A1:P1"/>
    <mergeCell ref="A1:K1"/>
    <mergeCell ref="A3:P3"/>
  </mergeCells>
  <conditionalFormatting sqref="L5:L504">
    <cfRule type="expression" priority="1" dxfId="1">
      <formula>$L5="Review"</formula>
    </cfRule>
  </conditionalFormatting>
  <conditionalFormatting sqref="E5:E504">
    <cfRule type="expression" priority="2" dxfId="2">
      <formula>$E5="Uncategorized"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7" customWidth="1" style="36" min="1" max="1"/>
    <col width="17" customWidth="1" style="36" min="2" max="2"/>
    <col width="16" customWidth="1" style="36" min="3" max="3"/>
    <col width="32" customWidth="1" style="36" min="4" max="4"/>
    <col width="12" customWidth="1" style="36" min="5" max="5"/>
    <col width="21" customWidth="1" style="36" min="6" max="6"/>
    <col width="18" customWidth="1" style="36" min="7" max="7"/>
    <col width="12" customWidth="1" style="36" min="8" max="8"/>
  </cols>
  <sheetData>
    <row r="1" ht="30" customHeight="1" s="36">
      <c r="A1" s="13" t="inlineStr">
        <is>
          <t>Monthly Budget &amp; Variance</t>
        </is>
      </c>
      <c r="B1" s="41" t="n"/>
      <c r="C1" s="41" t="n"/>
      <c r="D1" s="41" t="n"/>
      <c r="E1" s="41" t="n"/>
      <c r="F1" s="41" t="n"/>
      <c r="G1" s="41" t="n"/>
      <c r="H1" s="41" t="n"/>
    </row>
    <row r="3">
      <c r="A3" t="inlineStr">
        <is>
          <t>Category</t>
        </is>
      </c>
      <c r="B3" t="inlineStr">
        <is>
          <t>Subcategory</t>
        </is>
      </c>
      <c r="C3" t="inlineStr">
        <is>
          <t>Budget / Month</t>
        </is>
      </c>
      <c r="D3" t="inlineStr">
        <is>
          <t>Actual / Month</t>
        </is>
      </c>
      <c r="E3" t="inlineStr">
        <is>
          <t>Variance</t>
        </is>
      </c>
      <c r="F3" t="inlineStr">
        <is>
          <t>% Used</t>
        </is>
      </c>
      <c r="G3" t="inlineStr">
        <is>
          <t>Fixed / Variable</t>
        </is>
      </c>
      <c r="H3" t="inlineStr">
        <is>
          <t>Notes</t>
        </is>
      </c>
    </row>
    <row r="4">
      <c r="A4" t="inlineStr">
        <is>
          <t>Housing</t>
        </is>
      </c>
      <c r="B4" t="inlineStr">
        <is>
          <t>Rent / Mortgage</t>
        </is>
      </c>
      <c r="C4" s="97" t="n">
        <v>0</v>
      </c>
      <c r="D4" s="8">
        <f>SUMIFS(Transactions!$H:$H,Transactions!$E:$E,A4,Transactions!$F:$F,B4,Transactions!$D:$D,"Expense")*-1</f>
        <v/>
      </c>
      <c r="E4" s="8">
        <f>C4-D4</f>
        <v/>
      </c>
      <c r="F4" s="109">
        <f>IFERROR(D4/C4,0)</f>
        <v/>
      </c>
      <c r="G4" t="inlineStr">
        <is>
          <t>Fixed</t>
        </is>
      </c>
    </row>
    <row r="5">
      <c r="A5" t="inlineStr">
        <is>
          <t>Housing</t>
        </is>
      </c>
      <c r="B5" t="inlineStr">
        <is>
          <t>Utilities</t>
        </is>
      </c>
      <c r="C5" s="97" t="n">
        <v>0</v>
      </c>
      <c r="D5" s="8">
        <f>SUMIFS(Transactions!$H:$H,Transactions!$E:$E,A5,Transactions!$F:$F,B5,Transactions!$D:$D,"Expense")*-1</f>
        <v/>
      </c>
      <c r="E5" s="8">
        <f>C5-D5</f>
        <v/>
      </c>
      <c r="F5" s="109">
        <f>IFERROR(D5/C5,0)</f>
        <v/>
      </c>
      <c r="G5" t="inlineStr">
        <is>
          <t>Variable</t>
        </is>
      </c>
    </row>
    <row r="6">
      <c r="A6" t="inlineStr">
        <is>
          <t>Food</t>
        </is>
      </c>
      <c r="B6" t="inlineStr">
        <is>
          <t>Groceries</t>
        </is>
      </c>
      <c r="C6" s="97" t="n">
        <v>0</v>
      </c>
      <c r="D6" s="8">
        <f>SUMIFS(Transactions!$H:$H,Transactions!$E:$E,A6,Transactions!$F:$F,B6,Transactions!$D:$D,"Expense")*-1</f>
        <v/>
      </c>
      <c r="E6" s="8">
        <f>C6-D6</f>
        <v/>
      </c>
      <c r="F6" s="109">
        <f>IFERROR(D6/C6,0)</f>
        <v/>
      </c>
      <c r="G6" t="inlineStr">
        <is>
          <t>Variable</t>
        </is>
      </c>
    </row>
    <row r="7">
      <c r="A7" t="inlineStr">
        <is>
          <t>Food</t>
        </is>
      </c>
      <c r="B7" t="inlineStr">
        <is>
          <t>Dining Out</t>
        </is>
      </c>
      <c r="C7" s="97" t="n">
        <v>0</v>
      </c>
      <c r="D7" s="8">
        <f>SUMIFS(Transactions!$H:$H,Transactions!$E:$E,A7,Transactions!$F:$F,B7,Transactions!$D:$D,"Expense")*-1</f>
        <v/>
      </c>
      <c r="E7" s="8">
        <f>C7-D7</f>
        <v/>
      </c>
      <c r="F7" s="109">
        <f>IFERROR(D7/C7,0)</f>
        <v/>
      </c>
      <c r="G7" t="inlineStr">
        <is>
          <t>Variable</t>
        </is>
      </c>
    </row>
    <row r="8">
      <c r="A8" t="inlineStr">
        <is>
          <t>Transportation</t>
        </is>
      </c>
      <c r="B8" t="inlineStr">
        <is>
          <t>Car / Transit</t>
        </is>
      </c>
      <c r="C8" s="97" t="n">
        <v>0</v>
      </c>
      <c r="D8" s="8">
        <f>SUMIFS(Transactions!$H:$H,Transactions!$E:$E,A8,Transactions!$F:$F,B8,Transactions!$D:$D,"Expense")*-1</f>
        <v/>
      </c>
      <c r="E8" s="8">
        <f>C8-D8</f>
        <v/>
      </c>
      <c r="F8" s="109">
        <f>IFERROR(D8/C8,0)</f>
        <v/>
      </c>
      <c r="G8" t="inlineStr">
        <is>
          <t>Variable</t>
        </is>
      </c>
    </row>
    <row r="9">
      <c r="A9" t="inlineStr">
        <is>
          <t>Insurance</t>
        </is>
      </c>
      <c r="B9" t="inlineStr">
        <is>
          <t>Insurance</t>
        </is>
      </c>
      <c r="C9" s="97" t="n">
        <v>0</v>
      </c>
      <c r="D9" s="8">
        <f>SUMIFS(Transactions!$H:$H,Transactions!$E:$E,A9,Transactions!$F:$F,B9,Transactions!$D:$D,"Expense")*-1</f>
        <v/>
      </c>
      <c r="E9" s="8">
        <f>C9-D9</f>
        <v/>
      </c>
      <c r="F9" s="109">
        <f>IFERROR(D9/C9,0)</f>
        <v/>
      </c>
      <c r="G9" t="inlineStr">
        <is>
          <t>Fixed</t>
        </is>
      </c>
    </row>
    <row r="10">
      <c r="A10" t="inlineStr">
        <is>
          <t>Debt</t>
        </is>
      </c>
      <c r="B10" t="inlineStr">
        <is>
          <t>Debt Payments</t>
        </is>
      </c>
      <c r="C10" s="97" t="n">
        <v>0</v>
      </c>
      <c r="D10" s="8">
        <f>SUMIFS(Transactions!$H:$H,Transactions!$E:$E,A10,Transactions!$F:$F,B10,Transactions!$D:$D,"Expense")*-1</f>
        <v/>
      </c>
      <c r="E10" s="8">
        <f>C10-D10</f>
        <v/>
      </c>
      <c r="F10" s="109">
        <f>IFERROR(D10/C10,0)</f>
        <v/>
      </c>
      <c r="G10" t="inlineStr">
        <is>
          <t>Fixed</t>
        </is>
      </c>
    </row>
    <row r="11">
      <c r="A11" t="inlineStr">
        <is>
          <t>Subscriptions</t>
        </is>
      </c>
      <c r="B11" t="inlineStr">
        <is>
          <t>Subscriptions</t>
        </is>
      </c>
      <c r="C11" s="97" t="n">
        <v>0</v>
      </c>
      <c r="D11" s="8">
        <f>SUMIFS(Transactions!$H:$H,Transactions!$E:$E,A11,Transactions!$F:$F,B11,Transactions!$D:$D,"Expense")*-1</f>
        <v/>
      </c>
      <c r="E11" s="8">
        <f>C11-D11</f>
        <v/>
      </c>
      <c r="F11" s="109">
        <f>IFERROR(D11/C11,0)</f>
        <v/>
      </c>
      <c r="G11" t="inlineStr">
        <is>
          <t>Fixed</t>
        </is>
      </c>
    </row>
    <row r="12">
      <c r="A12" t="inlineStr">
        <is>
          <t>Personal</t>
        </is>
      </c>
      <c r="B12" t="inlineStr">
        <is>
          <t>Shopping</t>
        </is>
      </c>
      <c r="C12" s="97" t="n">
        <v>0</v>
      </c>
      <c r="D12" s="8">
        <f>SUMIFS(Transactions!$H:$H,Transactions!$E:$E,A12,Transactions!$F:$F,B12,Transactions!$D:$D,"Expense")*-1</f>
        <v/>
      </c>
      <c r="E12" s="8">
        <f>C12-D12</f>
        <v/>
      </c>
      <c r="F12" s="109">
        <f>IFERROR(D12/C12,0)</f>
        <v/>
      </c>
      <c r="G12" t="inlineStr">
        <is>
          <t>Variable</t>
        </is>
      </c>
    </row>
    <row r="13">
      <c r="A13" t="inlineStr">
        <is>
          <t>Entertainment</t>
        </is>
      </c>
      <c r="B13" t="inlineStr">
        <is>
          <t>Entertainment</t>
        </is>
      </c>
      <c r="C13" s="97" t="n">
        <v>0</v>
      </c>
      <c r="D13" s="8">
        <f>SUMIFS(Transactions!$H:$H,Transactions!$E:$E,A13,Transactions!$F:$F,B13,Transactions!$D:$D,"Expense")*-1</f>
        <v/>
      </c>
      <c r="E13" s="8">
        <f>C13-D13</f>
        <v/>
      </c>
      <c r="F13" s="109">
        <f>IFERROR(D13/C13,0)</f>
        <v/>
      </c>
      <c r="G13" t="inlineStr">
        <is>
          <t>Variable</t>
        </is>
      </c>
    </row>
    <row r="14">
      <c r="A14" t="inlineStr">
        <is>
          <t>Other</t>
        </is>
      </c>
      <c r="B14" t="inlineStr">
        <is>
          <t>Other</t>
        </is>
      </c>
      <c r="C14" s="97" t="n">
        <v>0</v>
      </c>
      <c r="D14" s="8">
        <f>SUMIFS(Transactions!$H:$H,Transactions!$E:$E,A14,Transactions!$F:$F,B14,Transactions!$D:$D,"Expense")*-1</f>
        <v/>
      </c>
      <c r="E14" s="8">
        <f>C14-D14</f>
        <v/>
      </c>
      <c r="F14" s="109">
        <f>IFERROR(D14/C14,0)</f>
        <v/>
      </c>
      <c r="G14" t="inlineStr">
        <is>
          <t>Variable</t>
        </is>
      </c>
    </row>
  </sheetData>
  <mergeCells count="1">
    <mergeCell ref="A1:H1"/>
  </mergeCells>
  <conditionalFormatting sqref="E4:E14">
    <cfRule type="cellIs" priority="1" operator="less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31" customWidth="1" style="36" min="1" max="1"/>
    <col width="12" customWidth="1" style="36" min="2" max="2"/>
    <col width="12" customWidth="1" style="36" min="3" max="3"/>
    <col width="12" customWidth="1" style="36" min="4" max="4"/>
    <col width="12" customWidth="1" style="36" min="5" max="5"/>
    <col width="12" customWidth="1" style="36" min="6" max="6"/>
    <col width="12" customWidth="1" style="36" min="7" max="7"/>
    <col width="13" customWidth="1" style="36" min="8" max="8"/>
    <col width="12" customWidth="1" style="36" min="9" max="9"/>
  </cols>
  <sheetData>
    <row r="1" ht="30" customHeight="1" s="36">
      <c r="A1" s="13" t="inlineStr">
        <is>
          <t>Bills &amp; Recurring Obligations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</row>
    <row r="3">
      <c r="A3" t="inlineStr">
        <is>
          <t>Bill</t>
        </is>
      </c>
      <c r="B3" t="inlineStr">
        <is>
          <t>Category</t>
        </is>
      </c>
      <c r="C3" t="inlineStr">
        <is>
          <t>Due Day</t>
        </is>
      </c>
      <c r="D3" t="inlineStr">
        <is>
          <t>Amount</t>
        </is>
      </c>
      <c r="E3" t="inlineStr">
        <is>
          <t>Frequency</t>
        </is>
      </c>
      <c r="F3" t="inlineStr">
        <is>
          <t>Autopay?</t>
        </is>
      </c>
      <c r="G3" t="inlineStr">
        <is>
          <t>Account ID</t>
        </is>
      </c>
      <c r="H3" t="inlineStr">
        <is>
          <t>Annual Cost</t>
        </is>
      </c>
      <c r="I3" t="inlineStr">
        <is>
          <t>Notes</t>
        </is>
      </c>
    </row>
    <row r="4">
      <c r="A4" s="96" t="inlineStr">
        <is>
          <t>Rent / Mortgage</t>
        </is>
      </c>
      <c r="B4" s="96" t="inlineStr">
        <is>
          <t>Housing</t>
        </is>
      </c>
      <c r="C4" s="96" t="n">
        <v>1</v>
      </c>
      <c r="D4" s="97" t="n">
        <v>0</v>
      </c>
      <c r="E4" s="96" t="inlineStr">
        <is>
          <t>Monthly</t>
        </is>
      </c>
      <c r="F4" s="96" t="inlineStr">
        <is>
          <t>Yes</t>
        </is>
      </c>
      <c r="G4" s="96" t="inlineStr">
        <is>
          <t>A001</t>
        </is>
      </c>
      <c r="H4" s="97">
        <f>D4*12</f>
        <v/>
      </c>
      <c r="I4" s="96" t="inlineStr"/>
    </row>
    <row r="5">
      <c r="A5" s="96" t="inlineStr">
        <is>
          <t>Electric</t>
        </is>
      </c>
      <c r="B5" s="96" t="inlineStr">
        <is>
          <t>Utilities</t>
        </is>
      </c>
      <c r="C5" s="96" t="n">
        <v>15</v>
      </c>
      <c r="D5" s="97" t="n">
        <v>0</v>
      </c>
      <c r="E5" s="96" t="inlineStr">
        <is>
          <t>Monthly</t>
        </is>
      </c>
      <c r="F5" s="96" t="inlineStr">
        <is>
          <t>Yes</t>
        </is>
      </c>
      <c r="G5" s="96" t="inlineStr">
        <is>
          <t>A001</t>
        </is>
      </c>
      <c r="H5" s="97">
        <f>D5*12</f>
        <v/>
      </c>
      <c r="I5" s="96" t="inlineStr"/>
    </row>
    <row r="6">
      <c r="A6" s="96" t="inlineStr">
        <is>
          <t>Internet</t>
        </is>
      </c>
      <c r="B6" s="96" t="inlineStr">
        <is>
          <t>Utilities</t>
        </is>
      </c>
      <c r="C6" s="96" t="n">
        <v>20</v>
      </c>
      <c r="D6" s="97" t="n">
        <v>0</v>
      </c>
      <c r="E6" s="96" t="inlineStr">
        <is>
          <t>Monthly</t>
        </is>
      </c>
      <c r="F6" s="96" t="inlineStr">
        <is>
          <t>Yes</t>
        </is>
      </c>
      <c r="G6" s="96" t="inlineStr">
        <is>
          <t>A001</t>
        </is>
      </c>
      <c r="H6" s="97">
        <f>D6*12</f>
        <v/>
      </c>
      <c r="I6" s="96" t="inlineStr"/>
    </row>
    <row r="7">
      <c r="A7" s="96" t="inlineStr">
        <is>
          <t>Phone</t>
        </is>
      </c>
      <c r="B7" s="96" t="inlineStr">
        <is>
          <t>Utilities</t>
        </is>
      </c>
      <c r="C7" s="96" t="n">
        <v>25</v>
      </c>
      <c r="D7" s="97" t="n">
        <v>0</v>
      </c>
      <c r="E7" s="96" t="inlineStr">
        <is>
          <t>Monthly</t>
        </is>
      </c>
      <c r="F7" s="96" t="inlineStr">
        <is>
          <t>Yes</t>
        </is>
      </c>
      <c r="G7" s="96" t="inlineStr">
        <is>
          <t>A001</t>
        </is>
      </c>
      <c r="H7" s="97">
        <f>D7*12</f>
        <v/>
      </c>
      <c r="I7" s="96" t="inlineStr"/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5" customWidth="1" style="36" min="1" max="1"/>
    <col width="13" customWidth="1" style="36" min="2" max="2"/>
    <col width="15" customWidth="1" style="36" min="3" max="3"/>
    <col width="17" customWidth="1" style="36" min="4" max="4"/>
    <col width="17" customWidth="1" style="36" min="5" max="5"/>
    <col width="15" customWidth="1" style="36" min="6" max="6"/>
    <col width="17" customWidth="1" style="36" min="7" max="7"/>
    <col width="28" customWidth="1" style="36" min="8" max="8"/>
    <col width="12" customWidth="1" style="36" min="9" max="9"/>
  </cols>
  <sheetData>
    <row r="1" ht="30" customHeight="1" s="36">
      <c r="A1" s="13" t="inlineStr">
        <is>
          <t>Debt Schedule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</row>
    <row r="3">
      <c r="A3" t="inlineStr">
        <is>
          <t>Debt</t>
        </is>
      </c>
      <c r="B3" t="inlineStr">
        <is>
          <t>Type</t>
        </is>
      </c>
      <c r="C3" t="inlineStr">
        <is>
          <t>Interest Rate</t>
        </is>
      </c>
      <c r="D3" t="inlineStr">
        <is>
          <t>Minimum Payment</t>
        </is>
      </c>
      <c r="E3" t="inlineStr">
        <is>
          <t>Current Balance</t>
        </is>
      </c>
      <c r="F3" t="inlineStr">
        <is>
          <t>Extra Payment</t>
        </is>
      </c>
      <c r="G3" t="inlineStr">
        <is>
          <t>Payoff Priority</t>
        </is>
      </c>
      <c r="H3" t="inlineStr">
        <is>
          <t>Estimated Monthly Interest</t>
        </is>
      </c>
      <c r="I3" t="inlineStr">
        <is>
          <t>Notes</t>
        </is>
      </c>
    </row>
    <row r="4">
      <c r="A4" s="96" t="inlineStr">
        <is>
          <t>Credit Card</t>
        </is>
      </c>
      <c r="B4" s="96" t="inlineStr">
        <is>
          <t>Revolving</t>
        </is>
      </c>
      <c r="C4" s="102" t="n">
        <v>0</v>
      </c>
      <c r="D4" s="97" t="n">
        <v>0</v>
      </c>
      <c r="E4" s="97" t="n">
        <v>0</v>
      </c>
      <c r="F4" s="97" t="n">
        <v>0</v>
      </c>
      <c r="G4" s="96" t="n">
        <v>1</v>
      </c>
      <c r="H4" s="8">
        <f>E4*C4/12</f>
        <v/>
      </c>
      <c r="I4" t="inlineStr"/>
    </row>
    <row r="5">
      <c r="A5" s="96" t="inlineStr">
        <is>
          <t>Auto Loan</t>
        </is>
      </c>
      <c r="B5" s="96" t="inlineStr">
        <is>
          <t>Installment</t>
        </is>
      </c>
      <c r="C5" s="102" t="n">
        <v>0</v>
      </c>
      <c r="D5" s="97" t="n">
        <v>0</v>
      </c>
      <c r="E5" s="97" t="n">
        <v>0</v>
      </c>
      <c r="F5" s="97" t="n">
        <v>0</v>
      </c>
      <c r="G5" s="96" t="n">
        <v>2</v>
      </c>
      <c r="H5" s="8">
        <f>E5*C5/12</f>
        <v/>
      </c>
      <c r="I5" t="inlineStr"/>
    </row>
    <row r="6">
      <c r="A6" s="96" t="inlineStr">
        <is>
          <t>Student Loan</t>
        </is>
      </c>
      <c r="B6" s="96" t="inlineStr">
        <is>
          <t>Installment</t>
        </is>
      </c>
      <c r="C6" s="102" t="n">
        <v>0</v>
      </c>
      <c r="D6" s="97" t="n">
        <v>0</v>
      </c>
      <c r="E6" s="97" t="n">
        <v>0</v>
      </c>
      <c r="F6" s="97" t="n">
        <v>0</v>
      </c>
      <c r="G6" s="96" t="n">
        <v>3</v>
      </c>
      <c r="H6" s="8">
        <f>E6*C6/12</f>
        <v/>
      </c>
      <c r="I6" t="inlineStr"/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22" customWidth="1" style="36" min="1" max="1"/>
    <col width="18" customWidth="1" style="36" min="2" max="2"/>
    <col width="12" customWidth="1" style="36" min="3" max="3"/>
    <col width="13" customWidth="1" style="36" min="4" max="4"/>
    <col width="12" customWidth="1" style="36" min="5" max="5"/>
    <col width="12" customWidth="1" style="36" min="6" max="6"/>
    <col width="32" customWidth="1" style="36" min="7" max="7"/>
    <col width="12" customWidth="1" style="36" min="8" max="8"/>
    <col width="32" customWidth="1" style="36" min="9" max="9"/>
  </cols>
  <sheetData>
    <row r="1" ht="30" customHeight="1" s="36">
      <c r="A1" s="13" t="inlineStr">
        <is>
          <t>Investment Portfolio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</row>
    <row r="3">
      <c r="A3" t="inlineStr">
        <is>
          <t>Account ID</t>
        </is>
      </c>
      <c r="B3" t="inlineStr">
        <is>
          <t>Security / Asset</t>
        </is>
      </c>
      <c r="C3" t="inlineStr">
        <is>
          <t>Ticker</t>
        </is>
      </c>
      <c r="D3" t="inlineStr">
        <is>
          <t>Asset Class</t>
        </is>
      </c>
      <c r="E3" t="inlineStr">
        <is>
          <t>Quantity</t>
        </is>
      </c>
      <c r="F3" t="inlineStr">
        <is>
          <t>Price</t>
        </is>
      </c>
      <c r="G3" t="inlineStr">
        <is>
          <t>Market Value</t>
        </is>
      </c>
      <c r="H3" t="inlineStr">
        <is>
          <t>Cost Basis</t>
        </is>
      </c>
      <c r="I3" t="inlineStr">
        <is>
          <t>Unrealized Gain/(Loss)</t>
        </is>
      </c>
    </row>
    <row r="4">
      <c r="A4" s="96" t="n"/>
      <c r="B4" s="96" t="n"/>
      <c r="C4" s="96" t="n"/>
      <c r="D4" s="96" t="n"/>
      <c r="E4" s="96" t="n"/>
      <c r="F4" s="97" t="n"/>
      <c r="G4" s="8">
        <f>IF(OR(E4="",F4=""),"",E4*F4)</f>
        <v/>
      </c>
      <c r="H4" s="8" t="n"/>
      <c r="I4" s="8">
        <f>IF(OR(G4="",H4=""),"",G4-H4)</f>
        <v/>
      </c>
    </row>
    <row r="5">
      <c r="A5" s="96" t="n"/>
      <c r="B5" s="96" t="n"/>
      <c r="C5" s="96" t="n"/>
      <c r="D5" s="96" t="n"/>
      <c r="E5" s="96" t="n"/>
      <c r="F5" s="97" t="n"/>
      <c r="G5" s="8">
        <f>IF(OR(E5="",F5=""),"",E5*F5)</f>
        <v/>
      </c>
      <c r="H5" s="8" t="n"/>
      <c r="I5" s="8">
        <f>IF(OR(G5="",H5=""),"",G5-H5)</f>
        <v/>
      </c>
    </row>
    <row r="6">
      <c r="A6" s="96" t="n"/>
      <c r="B6" s="96" t="n"/>
      <c r="C6" s="96" t="n"/>
      <c r="D6" s="96" t="n"/>
      <c r="E6" s="96" t="n"/>
      <c r="F6" s="97" t="n"/>
      <c r="G6" s="8">
        <f>IF(OR(E6="",F6=""),"",E6*F6)</f>
        <v/>
      </c>
      <c r="H6" s="8" t="n"/>
      <c r="I6" s="8">
        <f>IF(OR(G6="",H6=""),"",G6-H6)</f>
        <v/>
      </c>
    </row>
    <row r="7">
      <c r="A7" s="96" t="n"/>
      <c r="B7" s="96" t="n"/>
      <c r="C7" s="96" t="n"/>
      <c r="D7" s="96" t="n"/>
      <c r="E7" s="96" t="n"/>
      <c r="F7" s="97" t="n"/>
      <c r="G7" s="8">
        <f>IF(OR(E7="",F7=""),"",E7*F7)</f>
        <v/>
      </c>
      <c r="H7" s="8" t="n"/>
      <c r="I7" s="8">
        <f>IF(OR(G7="",H7=""),"",G7-H7)</f>
        <v/>
      </c>
    </row>
    <row r="8">
      <c r="A8" s="96" t="n"/>
      <c r="B8" s="96" t="n"/>
      <c r="C8" s="96" t="n"/>
      <c r="D8" s="96" t="n"/>
      <c r="E8" s="96" t="n"/>
      <c r="F8" s="97" t="n"/>
      <c r="G8" s="8">
        <f>IF(OR(E8="",F8=""),"",E8*F8)</f>
        <v/>
      </c>
      <c r="H8" s="8" t="n"/>
      <c r="I8" s="8">
        <f>IF(OR(G8="",H8=""),"",G8-H8)</f>
        <v/>
      </c>
    </row>
    <row r="9">
      <c r="A9" s="96" t="n"/>
      <c r="B9" s="96" t="n"/>
      <c r="C9" s="96" t="n"/>
      <c r="D9" s="96" t="n"/>
      <c r="E9" s="96" t="n"/>
      <c r="F9" s="97" t="n"/>
      <c r="G9" s="8">
        <f>IF(OR(E9="",F9=""),"",E9*F9)</f>
        <v/>
      </c>
      <c r="H9" s="8" t="n"/>
      <c r="I9" s="8">
        <f>IF(OR(G9="",H9=""),"",G9-H9)</f>
        <v/>
      </c>
    </row>
    <row r="10">
      <c r="A10" s="96" t="n"/>
      <c r="B10" s="96" t="n"/>
      <c r="C10" s="96" t="n"/>
      <c r="D10" s="96" t="n"/>
      <c r="E10" s="96" t="n"/>
      <c r="F10" s="97" t="n"/>
      <c r="G10" s="8">
        <f>IF(OR(E10="",F10=""),"",E10*F10)</f>
        <v/>
      </c>
      <c r="H10" s="8" t="n"/>
      <c r="I10" s="8">
        <f>IF(OR(G10="",H10=""),"",G10-H10)</f>
        <v/>
      </c>
    </row>
    <row r="11">
      <c r="A11" s="96" t="n"/>
      <c r="B11" s="96" t="n"/>
      <c r="C11" s="96" t="n"/>
      <c r="D11" s="96" t="n"/>
      <c r="E11" s="96" t="n"/>
      <c r="F11" s="97" t="n"/>
      <c r="G11" s="8">
        <f>IF(OR(E11="",F11=""),"",E11*F11)</f>
        <v/>
      </c>
      <c r="H11" s="8" t="n"/>
      <c r="I11" s="8">
        <f>IF(OR(G11="",H11=""),"",G11-H11)</f>
        <v/>
      </c>
    </row>
    <row r="12">
      <c r="A12" s="96" t="n"/>
      <c r="B12" s="96" t="n"/>
      <c r="C12" s="96" t="n"/>
      <c r="D12" s="96" t="n"/>
      <c r="E12" s="96" t="n"/>
      <c r="F12" s="97" t="n"/>
      <c r="G12" s="8">
        <f>IF(OR(E12="",F12=""),"",E12*F12)</f>
        <v/>
      </c>
      <c r="H12" s="8" t="n"/>
      <c r="I12" s="8">
        <f>IF(OR(G12="",H12=""),"",G12-H12)</f>
        <v/>
      </c>
    </row>
    <row r="13">
      <c r="A13" s="96" t="n"/>
      <c r="B13" s="96" t="n"/>
      <c r="C13" s="96" t="n"/>
      <c r="D13" s="96" t="n"/>
      <c r="E13" s="96" t="n"/>
      <c r="F13" s="97" t="n"/>
      <c r="G13" s="8">
        <f>IF(OR(E13="",F13=""),"",E13*F13)</f>
        <v/>
      </c>
      <c r="H13" s="8" t="n"/>
      <c r="I13" s="8">
        <f>IF(OR(G13="",H13=""),"",G13-H13)</f>
        <v/>
      </c>
    </row>
    <row r="14">
      <c r="A14" s="96" t="n"/>
      <c r="B14" s="96" t="n"/>
      <c r="C14" s="96" t="n"/>
      <c r="D14" s="96" t="n"/>
      <c r="E14" s="96" t="n"/>
      <c r="F14" s="96" t="n"/>
    </row>
    <row r="15">
      <c r="A15" s="96" t="n"/>
      <c r="B15" s="96" t="n"/>
      <c r="C15" s="96" t="n"/>
      <c r="D15" s="96" t="n"/>
      <c r="E15" s="96" t="n"/>
      <c r="F15" s="96" t="n"/>
    </row>
    <row r="16">
      <c r="A16" s="96" t="n"/>
      <c r="B16" s="96" t="n"/>
      <c r="C16" s="96" t="n"/>
      <c r="D16" s="96" t="n"/>
      <c r="E16" s="96" t="n"/>
      <c r="F16" s="96" t="n"/>
    </row>
    <row r="17">
      <c r="A17" s="96" t="n"/>
      <c r="B17" s="96" t="n"/>
      <c r="C17" s="96" t="n"/>
      <c r="D17" s="96" t="n"/>
      <c r="E17" s="96" t="n"/>
      <c r="F17" s="96" t="n"/>
    </row>
    <row r="18">
      <c r="A18" s="96" t="n"/>
      <c r="B18" s="96" t="n"/>
      <c r="C18" s="96" t="n"/>
      <c r="D18" s="96" t="n"/>
      <c r="E18" s="96" t="n"/>
      <c r="F18" s="96" t="n"/>
    </row>
    <row r="19">
      <c r="A19" s="96" t="n"/>
      <c r="B19" s="96" t="n"/>
      <c r="C19" s="96" t="n"/>
      <c r="D19" s="96" t="n"/>
      <c r="E19" s="96" t="n"/>
      <c r="F19" s="96" t="n"/>
    </row>
    <row r="20">
      <c r="A20" s="96" t="n"/>
      <c r="B20" s="96" t="n"/>
      <c r="C20" s="96" t="n"/>
      <c r="D20" s="96" t="n"/>
      <c r="E20" s="96" t="n"/>
      <c r="F20" s="96" t="n"/>
    </row>
    <row r="21">
      <c r="A21" s="96" t="n"/>
      <c r="B21" s="96" t="n"/>
      <c r="C21" s="96" t="n"/>
      <c r="D21" s="96" t="n"/>
      <c r="E21" s="96" t="n"/>
      <c r="F21" s="96" t="n"/>
    </row>
    <row r="22">
      <c r="A22" s="96" t="n"/>
      <c r="B22" s="96" t="n"/>
      <c r="C22" s="96" t="n"/>
      <c r="D22" s="96" t="n"/>
      <c r="E22" s="96" t="n"/>
      <c r="F22" s="96" t="n"/>
    </row>
    <row r="23">
      <c r="A23" s="96" t="n"/>
      <c r="B23" s="96" t="n"/>
      <c r="C23" s="96" t="n"/>
      <c r="D23" s="96" t="n"/>
      <c r="E23" s="96" t="n"/>
      <c r="F23" s="96" t="n"/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7" customWidth="1" style="36" min="1" max="1"/>
    <col width="15" customWidth="1" style="36" min="2" max="2"/>
    <col width="16" customWidth="1" style="36" min="3" max="3"/>
    <col width="13" customWidth="1" style="36" min="4" max="4"/>
    <col width="22" customWidth="1" style="36" min="5" max="5"/>
    <col width="32" customWidth="1" style="36" min="6" max="6"/>
    <col width="12" customWidth="1" style="36" min="7" max="7"/>
  </cols>
  <sheetData>
    <row r="1" ht="30" customHeight="1" s="36">
      <c r="A1" s="13" t="inlineStr">
        <is>
          <t>Financial Goals</t>
        </is>
      </c>
      <c r="B1" s="41" t="n"/>
      <c r="C1" s="41" t="n"/>
      <c r="D1" s="41" t="n"/>
      <c r="E1" s="41" t="n"/>
      <c r="F1" s="41" t="n"/>
      <c r="G1" s="41" t="n"/>
    </row>
    <row r="3">
      <c r="A3" t="inlineStr">
        <is>
          <t>Goal</t>
        </is>
      </c>
      <c r="B3" t="inlineStr">
        <is>
          <t>Target Amount</t>
        </is>
      </c>
      <c r="C3" t="inlineStr">
        <is>
          <t>Current Amount</t>
        </is>
      </c>
      <c r="D3" t="inlineStr">
        <is>
          <t>Target Date</t>
        </is>
      </c>
      <c r="E3" t="inlineStr">
        <is>
          <t>Monthly Contribution</t>
        </is>
      </c>
      <c r="F3" t="inlineStr">
        <is>
          <t>Required Monthly Contribution*</t>
        </is>
      </c>
      <c r="G3" t="inlineStr">
        <is>
          <t>Priority</t>
        </is>
      </c>
    </row>
    <row r="4">
      <c r="A4" s="96" t="inlineStr">
        <is>
          <t>Emergency Fund</t>
        </is>
      </c>
      <c r="B4" s="97" t="n">
        <v>10000</v>
      </c>
      <c r="C4" s="97" t="n">
        <v>0</v>
      </c>
      <c r="D4" s="98" t="n"/>
      <c r="E4" s="97" t="n">
        <v>0</v>
      </c>
      <c r="F4" s="8">
        <f>IF(D4="","",IFERROR(MAX(0,(B4-C4)/MAX(1,DATEDIF(TODAY(),D4,"m"))),0))</f>
        <v/>
      </c>
      <c r="G4" t="n">
        <v>1</v>
      </c>
    </row>
    <row r="5">
      <c r="A5" s="96" t="inlineStr">
        <is>
          <t>Down Payment</t>
        </is>
      </c>
      <c r="B5" s="97" t="n">
        <v>25000</v>
      </c>
      <c r="C5" s="97" t="n">
        <v>0</v>
      </c>
      <c r="D5" s="98" t="n"/>
      <c r="E5" s="97" t="n">
        <v>0</v>
      </c>
      <c r="F5" s="8">
        <f>IF(D5="","",IFERROR(MAX(0,(B5-C5)/MAX(1,DATEDIF(TODAY(),D5,"m"))),0))</f>
        <v/>
      </c>
      <c r="G5" t="n">
        <v>2</v>
      </c>
    </row>
    <row r="6">
      <c r="A6" s="96" t="inlineStr">
        <is>
          <t>Investment Goal</t>
        </is>
      </c>
      <c r="B6" s="97" t="n">
        <v>50000</v>
      </c>
      <c r="C6" s="97" t="n">
        <v>0</v>
      </c>
      <c r="D6" s="98" t="n"/>
      <c r="E6" s="97" t="n">
        <v>0</v>
      </c>
      <c r="F6" s="8">
        <f>IF(D6="","",IFERROR(MAX(0,(B6-C6)/MAX(1,DATEDIF(TODAY(),D6,"m"))),0))</f>
        <v/>
      </c>
      <c r="G6" t="n">
        <v>3</v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2" customWidth="1" style="36" min="1" max="1"/>
    <col width="12" customWidth="1" style="36" min="2" max="2"/>
    <col width="12" customWidth="1" style="36" min="3" max="3"/>
    <col width="12" customWidth="1" style="36" min="4" max="4"/>
    <col width="12" customWidth="1" style="36" min="5" max="5"/>
    <col width="12" customWidth="1" style="36" min="6" max="6"/>
  </cols>
  <sheetData>
    <row r="1" ht="30" customHeight="1" s="36">
      <c r="A1" s="13" t="inlineStr">
        <is>
          <t>Setup, Categories &amp; Data Dictionary</t>
        </is>
      </c>
      <c r="B1" s="41" t="n"/>
      <c r="C1" s="41" t="n"/>
      <c r="D1" s="41" t="n"/>
      <c r="E1" s="41" t="n"/>
      <c r="F1" s="41" t="n"/>
    </row>
    <row r="3">
      <c r="A3" s="15" t="inlineStr">
        <is>
          <t>Recommended Workflow</t>
        </is>
      </c>
      <c r="B3" s="41" t="n"/>
      <c r="C3" s="41" t="n"/>
      <c r="D3" s="41" t="n"/>
      <c r="E3" s="41" t="n"/>
      <c r="F3" s="41" t="n"/>
    </row>
    <row r="4">
      <c r="A4" t="inlineStr">
        <is>
          <t>1. Enter current balances in Accounts.</t>
        </is>
      </c>
    </row>
    <row r="5">
      <c r="A5" t="inlineStr">
        <is>
          <t>2. Enter recurring bills and debt balances.</t>
        </is>
      </c>
    </row>
    <row r="6">
      <c r="A6" t="inlineStr">
        <is>
          <t>3. Import/paste bank transactions into Transactions.</t>
        </is>
      </c>
    </row>
    <row r="7">
      <c r="A7" t="inlineStr">
        <is>
          <t>4. Categorize transactions consistently.</t>
        </is>
      </c>
    </row>
    <row r="8">
      <c r="A8" t="inlineStr">
        <is>
          <t>5. Set monthly budgets.</t>
        </is>
      </c>
    </row>
    <row r="9">
      <c r="A9" t="inlineStr">
        <is>
          <t>6. Update investments and goals monthly.</t>
        </is>
      </c>
    </row>
    <row r="10">
      <c r="A10" t="inlineStr">
        <is>
          <t>7. Review Dashboard for cash flow, savings rate, debt, and net worth.</t>
        </is>
      </c>
    </row>
    <row r="13">
      <c r="A13" s="15" t="inlineStr">
        <is>
          <t>Security / Data Handling</t>
        </is>
      </c>
      <c r="B13" s="41" t="n"/>
      <c r="C13" s="41" t="n"/>
      <c r="D13" s="41" t="n"/>
      <c r="E13" s="41" t="n"/>
      <c r="F13" s="41" t="n"/>
    </row>
    <row r="14">
      <c r="A14" t="inlineStr">
        <is>
          <t>Do not place online-banking credentials, full account numbers, SSNs, or API secrets in this workbook.</t>
        </is>
      </c>
    </row>
    <row r="15">
      <c r="A15" t="inlineStr">
        <is>
          <t>For automation, use a secure financial-data aggregator/API and map institution data into Accounts and Transactions.</t>
        </is>
      </c>
    </row>
  </sheetData>
  <mergeCells count="3">
    <mergeCell ref="A3:F3"/>
    <mergeCell ref="A13:F13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04"/>
  <sheetViews>
    <sheetView workbookViewId="0">
      <selection activeCell="A1" sqref="A1"/>
    </sheetView>
  </sheetViews>
  <sheetFormatPr baseColWidth="8" defaultRowHeight="15"/>
  <cols>
    <col width="10" customWidth="1" style="36" min="1" max="1"/>
    <col width="12" customWidth="1" style="36" min="2" max="2"/>
    <col width="12" customWidth="1" style="36" min="3" max="3"/>
    <col width="30" customWidth="1" style="36" min="4" max="4"/>
    <col width="14" customWidth="1" style="36" min="5" max="5"/>
    <col width="10" customWidth="1" style="36" min="6" max="6"/>
    <col width="22" customWidth="1" style="36" min="7" max="7"/>
    <col width="18" customWidth="1" style="36" min="8" max="8"/>
    <col width="10" customWidth="1" style="36" min="9" max="9"/>
    <col width="24" customWidth="1" style="36" min="10" max="10"/>
    <col width="14" customWidth="1" style="36" min="11" max="11"/>
    <col width="20" customWidth="1" style="36" min="12" max="12"/>
    <col width="34" customWidth="1" style="36" min="13" max="13"/>
    <col width="30" customWidth="1" style="36" min="14" max="14"/>
  </cols>
  <sheetData>
    <row r="1" ht="28" customHeight="1" s="36">
      <c r="A1" s="29" t="inlineStr">
        <is>
          <t>Raw Bank / API Import Layer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>
      <c r="A3" s="87" t="inlineStr">
        <is>
          <t>Paste bank CSV/API output here. This is the immutable source layer; downstream formulas read from this sheet. Never store credentials, passwords, MFA codes, or API secrets here.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</row>
    <row r="4">
      <c r="A4" s="35" t="inlineStr">
        <is>
          <t>Raw ID</t>
        </is>
      </c>
      <c r="B4" s="35" t="inlineStr">
        <is>
          <t>Date</t>
        </is>
      </c>
      <c r="C4" s="35" t="inlineStr">
        <is>
          <t>Account ID</t>
        </is>
      </c>
      <c r="D4" s="35" t="inlineStr">
        <is>
          <t>Description</t>
        </is>
      </c>
      <c r="E4" s="35" t="inlineStr">
        <is>
          <t>Amount ($)</t>
        </is>
      </c>
      <c r="F4" s="35" t="inlineStr">
        <is>
          <t>Currency</t>
        </is>
      </c>
      <c r="G4" s="35" t="inlineStr">
        <is>
          <t>Merchant</t>
        </is>
      </c>
      <c r="H4" s="35" t="inlineStr">
        <is>
          <t>Raw Category</t>
        </is>
      </c>
      <c r="I4" s="35" t="inlineStr">
        <is>
          <t>Pending?</t>
        </is>
      </c>
      <c r="J4" s="35" t="inlineStr">
        <is>
          <t>Transaction ID</t>
        </is>
      </c>
      <c r="K4" s="35" t="inlineStr">
        <is>
          <t>Source</t>
        </is>
      </c>
      <c r="L4" s="35" t="inlineStr">
        <is>
          <t>Imported At</t>
        </is>
      </c>
      <c r="M4" s="35" t="inlineStr">
        <is>
          <t>Fingerprint</t>
        </is>
      </c>
      <c r="N4" s="35" t="inlineStr">
        <is>
          <t>Notes</t>
        </is>
      </c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</row>
    <row r="5">
      <c r="A5" s="84" t="n"/>
      <c r="B5" s="129" t="n"/>
      <c r="C5" s="84" t="n"/>
      <c r="D5" s="84" t="n"/>
      <c r="E5" s="130" t="n"/>
      <c r="F5" s="84" t="n"/>
      <c r="G5" s="84" t="n"/>
      <c r="H5" s="84" t="n"/>
      <c r="I5" s="84" t="n"/>
      <c r="J5" s="84" t="n"/>
      <c r="K5" s="84" t="n"/>
      <c r="L5" s="13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</row>
    <row r="6">
      <c r="A6" s="84" t="n"/>
      <c r="B6" s="129" t="n"/>
      <c r="C6" s="84" t="n"/>
      <c r="D6" s="84" t="n"/>
      <c r="E6" s="130" t="n"/>
      <c r="F6" s="84" t="n"/>
      <c r="G6" s="84" t="n"/>
      <c r="H6" s="84" t="n"/>
      <c r="I6" s="84" t="n"/>
      <c r="J6" s="84" t="n"/>
      <c r="K6" s="84" t="n"/>
      <c r="L6" s="13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</row>
    <row r="7">
      <c r="A7" s="84" t="n"/>
      <c r="B7" s="129" t="n"/>
      <c r="C7" s="84" t="n"/>
      <c r="D7" s="84" t="n"/>
      <c r="E7" s="130" t="n"/>
      <c r="F7" s="84" t="n"/>
      <c r="G7" s="84" t="n"/>
      <c r="H7" s="84" t="n"/>
      <c r="I7" s="84" t="n"/>
      <c r="J7" s="84" t="n"/>
      <c r="K7" s="84" t="n"/>
      <c r="L7" s="13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</row>
    <row r="8">
      <c r="A8" s="84" t="n"/>
      <c r="B8" s="129" t="n"/>
      <c r="C8" s="84" t="n"/>
      <c r="D8" s="84" t="n"/>
      <c r="E8" s="130" t="n"/>
      <c r="F8" s="84" t="n"/>
      <c r="G8" s="84" t="n"/>
      <c r="H8" s="84" t="n"/>
      <c r="I8" s="84" t="n"/>
      <c r="J8" s="84" t="n"/>
      <c r="K8" s="84" t="n"/>
      <c r="L8" s="13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>
      <c r="A9" s="84" t="n"/>
      <c r="B9" s="129" t="n"/>
      <c r="C9" s="84" t="n"/>
      <c r="D9" s="84" t="n"/>
      <c r="E9" s="130" t="n"/>
      <c r="F9" s="84" t="n"/>
      <c r="G9" s="84" t="n"/>
      <c r="H9" s="84" t="n"/>
      <c r="I9" s="84" t="n"/>
      <c r="J9" s="84" t="n"/>
      <c r="K9" s="84" t="n"/>
      <c r="L9" s="13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>
      <c r="A10" s="84" t="n"/>
      <c r="B10" s="129" t="n"/>
      <c r="C10" s="84" t="n"/>
      <c r="D10" s="84" t="n"/>
      <c r="E10" s="130" t="n"/>
      <c r="F10" s="84" t="n"/>
      <c r="G10" s="84" t="n"/>
      <c r="H10" s="84" t="n"/>
      <c r="I10" s="84" t="n"/>
      <c r="J10" s="84" t="n"/>
      <c r="K10" s="84" t="n"/>
      <c r="L10" s="13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>
      <c r="A11" s="84" t="n"/>
      <c r="B11" s="129" t="n"/>
      <c r="C11" s="84" t="n"/>
      <c r="D11" s="84" t="n"/>
      <c r="E11" s="130" t="n"/>
      <c r="F11" s="84" t="n"/>
      <c r="G11" s="84" t="n"/>
      <c r="H11" s="84" t="n"/>
      <c r="I11" s="84" t="n"/>
      <c r="J11" s="84" t="n"/>
      <c r="K11" s="84" t="n"/>
      <c r="L11" s="13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>
      <c r="A12" s="84" t="n"/>
      <c r="B12" s="129" t="n"/>
      <c r="C12" s="84" t="n"/>
      <c r="D12" s="84" t="n"/>
      <c r="E12" s="130" t="n"/>
      <c r="F12" s="84" t="n"/>
      <c r="G12" s="84" t="n"/>
      <c r="H12" s="84" t="n"/>
      <c r="I12" s="84" t="n"/>
      <c r="J12" s="84" t="n"/>
      <c r="K12" s="84" t="n"/>
      <c r="L12" s="13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>
      <c r="A13" s="84" t="n"/>
      <c r="B13" s="129" t="n"/>
      <c r="C13" s="84" t="n"/>
      <c r="D13" s="84" t="n"/>
      <c r="E13" s="130" t="n"/>
      <c r="F13" s="84" t="n"/>
      <c r="G13" s="84" t="n"/>
      <c r="H13" s="84" t="n"/>
      <c r="I13" s="84" t="n"/>
      <c r="J13" s="84" t="n"/>
      <c r="K13" s="84" t="n"/>
      <c r="L13" s="13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>
      <c r="A14" s="84" t="n"/>
      <c r="B14" s="129" t="n"/>
      <c r="C14" s="84" t="n"/>
      <c r="D14" s="84" t="n"/>
      <c r="E14" s="130" t="n"/>
      <c r="F14" s="84" t="n"/>
      <c r="G14" s="84" t="n"/>
      <c r="H14" s="84" t="n"/>
      <c r="I14" s="84" t="n"/>
      <c r="J14" s="84" t="n"/>
      <c r="K14" s="84" t="n"/>
      <c r="L14" s="13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>
      <c r="A15" s="84" t="n"/>
      <c r="B15" s="129" t="n"/>
      <c r="C15" s="84" t="n"/>
      <c r="D15" s="84" t="n"/>
      <c r="E15" s="130" t="n"/>
      <c r="F15" s="84" t="n"/>
      <c r="G15" s="84" t="n"/>
      <c r="H15" s="84" t="n"/>
      <c r="I15" s="84" t="n"/>
      <c r="J15" s="84" t="n"/>
      <c r="K15" s="84" t="n"/>
      <c r="L15" s="13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>
      <c r="A16" s="84" t="n"/>
      <c r="B16" s="129" t="n"/>
      <c r="C16" s="84" t="n"/>
      <c r="D16" s="84" t="n"/>
      <c r="E16" s="130" t="n"/>
      <c r="F16" s="84" t="n"/>
      <c r="G16" s="84" t="n"/>
      <c r="H16" s="84" t="n"/>
      <c r="I16" s="84" t="n"/>
      <c r="J16" s="84" t="n"/>
      <c r="K16" s="84" t="n"/>
      <c r="L16" s="13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>
      <c r="A17" s="84" t="n"/>
      <c r="B17" s="129" t="n"/>
      <c r="C17" s="84" t="n"/>
      <c r="D17" s="84" t="n"/>
      <c r="E17" s="130" t="n"/>
      <c r="F17" s="84" t="n"/>
      <c r="G17" s="84" t="n"/>
      <c r="H17" s="84" t="n"/>
      <c r="I17" s="84" t="n"/>
      <c r="J17" s="84" t="n"/>
      <c r="K17" s="84" t="n"/>
      <c r="L17" s="13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>
      <c r="A18" s="84" t="n"/>
      <c r="B18" s="129" t="n"/>
      <c r="C18" s="84" t="n"/>
      <c r="D18" s="84" t="n"/>
      <c r="E18" s="130" t="n"/>
      <c r="F18" s="84" t="n"/>
      <c r="G18" s="84" t="n"/>
      <c r="H18" s="84" t="n"/>
      <c r="I18" s="84" t="n"/>
      <c r="J18" s="84" t="n"/>
      <c r="K18" s="84" t="n"/>
      <c r="L18" s="13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>
      <c r="A19" s="84" t="n"/>
      <c r="B19" s="129" t="n"/>
      <c r="C19" s="84" t="n"/>
      <c r="D19" s="84" t="n"/>
      <c r="E19" s="130" t="n"/>
      <c r="F19" s="84" t="n"/>
      <c r="G19" s="84" t="n"/>
      <c r="H19" s="84" t="n"/>
      <c r="I19" s="84" t="n"/>
      <c r="J19" s="84" t="n"/>
      <c r="K19" s="84" t="n"/>
      <c r="L19" s="13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>
      <c r="A20" s="84" t="n"/>
      <c r="B20" s="129" t="n"/>
      <c r="C20" s="84" t="n"/>
      <c r="D20" s="84" t="n"/>
      <c r="E20" s="130" t="n"/>
      <c r="F20" s="84" t="n"/>
      <c r="G20" s="84" t="n"/>
      <c r="H20" s="84" t="n"/>
      <c r="I20" s="84" t="n"/>
      <c r="J20" s="84" t="n"/>
      <c r="K20" s="84" t="n"/>
      <c r="L20" s="13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>
      <c r="A21" s="84" t="n"/>
      <c r="B21" s="129" t="n"/>
      <c r="C21" s="84" t="n"/>
      <c r="D21" s="84" t="n"/>
      <c r="E21" s="130" t="n"/>
      <c r="F21" s="84" t="n"/>
      <c r="G21" s="84" t="n"/>
      <c r="H21" s="84" t="n"/>
      <c r="I21" s="84" t="n"/>
      <c r="J21" s="84" t="n"/>
      <c r="K21" s="84" t="n"/>
      <c r="L21" s="13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>
      <c r="A22" s="84" t="n"/>
      <c r="B22" s="129" t="n"/>
      <c r="C22" s="84" t="n"/>
      <c r="D22" s="84" t="n"/>
      <c r="E22" s="130" t="n"/>
      <c r="F22" s="84" t="n"/>
      <c r="G22" s="84" t="n"/>
      <c r="H22" s="84" t="n"/>
      <c r="I22" s="84" t="n"/>
      <c r="J22" s="84" t="n"/>
      <c r="K22" s="84" t="n"/>
      <c r="L22" s="13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>
      <c r="A23" s="84" t="n"/>
      <c r="B23" s="129" t="n"/>
      <c r="C23" s="84" t="n"/>
      <c r="D23" s="84" t="n"/>
      <c r="E23" s="130" t="n"/>
      <c r="F23" s="84" t="n"/>
      <c r="G23" s="84" t="n"/>
      <c r="H23" s="84" t="n"/>
      <c r="I23" s="84" t="n"/>
      <c r="J23" s="84" t="n"/>
      <c r="K23" s="84" t="n"/>
      <c r="L23" s="13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>
      <c r="A24" s="84" t="n"/>
      <c r="B24" s="129" t="n"/>
      <c r="C24" s="84" t="n"/>
      <c r="D24" s="84" t="n"/>
      <c r="E24" s="130" t="n"/>
      <c r="F24" s="84" t="n"/>
      <c r="G24" s="84" t="n"/>
      <c r="H24" s="84" t="n"/>
      <c r="I24" s="84" t="n"/>
      <c r="J24" s="84" t="n"/>
      <c r="K24" s="84" t="n"/>
      <c r="L24" s="13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>
      <c r="A25" s="84" t="n"/>
      <c r="B25" s="129" t="n"/>
      <c r="C25" s="84" t="n"/>
      <c r="D25" s="84" t="n"/>
      <c r="E25" s="130" t="n"/>
      <c r="F25" s="84" t="n"/>
      <c r="G25" s="84" t="n"/>
      <c r="H25" s="84" t="n"/>
      <c r="I25" s="84" t="n"/>
      <c r="J25" s="84" t="n"/>
      <c r="K25" s="84" t="n"/>
      <c r="L25" s="13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>
      <c r="A26" s="84" t="n"/>
      <c r="B26" s="129" t="n"/>
      <c r="C26" s="84" t="n"/>
      <c r="D26" s="84" t="n"/>
      <c r="E26" s="130" t="n"/>
      <c r="F26" s="84" t="n"/>
      <c r="G26" s="84" t="n"/>
      <c r="H26" s="84" t="n"/>
      <c r="I26" s="84" t="n"/>
      <c r="J26" s="84" t="n"/>
      <c r="K26" s="84" t="n"/>
      <c r="L26" s="13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>
      <c r="A27" s="84" t="n"/>
      <c r="B27" s="129" t="n"/>
      <c r="C27" s="84" t="n"/>
      <c r="D27" s="84" t="n"/>
      <c r="E27" s="130" t="n"/>
      <c r="F27" s="84" t="n"/>
      <c r="G27" s="84" t="n"/>
      <c r="H27" s="84" t="n"/>
      <c r="I27" s="84" t="n"/>
      <c r="J27" s="84" t="n"/>
      <c r="K27" s="84" t="n"/>
      <c r="L27" s="13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>
      <c r="A28" s="84" t="n"/>
      <c r="B28" s="129" t="n"/>
      <c r="C28" s="84" t="n"/>
      <c r="D28" s="84" t="n"/>
      <c r="E28" s="130" t="n"/>
      <c r="F28" s="84" t="n"/>
      <c r="G28" s="84" t="n"/>
      <c r="H28" s="84" t="n"/>
      <c r="I28" s="84" t="n"/>
      <c r="J28" s="84" t="n"/>
      <c r="K28" s="84" t="n"/>
      <c r="L28" s="13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>
      <c r="A29" s="84" t="n"/>
      <c r="B29" s="129" t="n"/>
      <c r="C29" s="84" t="n"/>
      <c r="D29" s="84" t="n"/>
      <c r="E29" s="130" t="n"/>
      <c r="F29" s="84" t="n"/>
      <c r="G29" s="84" t="n"/>
      <c r="H29" s="84" t="n"/>
      <c r="I29" s="84" t="n"/>
      <c r="J29" s="84" t="n"/>
      <c r="K29" s="84" t="n"/>
      <c r="L29" s="13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>
      <c r="A30" s="84" t="n"/>
      <c r="B30" s="129" t="n"/>
      <c r="C30" s="84" t="n"/>
      <c r="D30" s="84" t="n"/>
      <c r="E30" s="130" t="n"/>
      <c r="F30" s="84" t="n"/>
      <c r="G30" s="84" t="n"/>
      <c r="H30" s="84" t="n"/>
      <c r="I30" s="84" t="n"/>
      <c r="J30" s="84" t="n"/>
      <c r="K30" s="84" t="n"/>
      <c r="L30" s="13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>
      <c r="A31" s="84" t="n"/>
      <c r="B31" s="129" t="n"/>
      <c r="C31" s="84" t="n"/>
      <c r="D31" s="84" t="n"/>
      <c r="E31" s="130" t="n"/>
      <c r="F31" s="84" t="n"/>
      <c r="G31" s="84" t="n"/>
      <c r="H31" s="84" t="n"/>
      <c r="I31" s="84" t="n"/>
      <c r="J31" s="84" t="n"/>
      <c r="K31" s="84" t="n"/>
      <c r="L31" s="13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>
      <c r="A32" s="84" t="n"/>
      <c r="B32" s="129" t="n"/>
      <c r="C32" s="84" t="n"/>
      <c r="D32" s="84" t="n"/>
      <c r="E32" s="130" t="n"/>
      <c r="F32" s="84" t="n"/>
      <c r="G32" s="84" t="n"/>
      <c r="H32" s="84" t="n"/>
      <c r="I32" s="84" t="n"/>
      <c r="J32" s="84" t="n"/>
      <c r="K32" s="84" t="n"/>
      <c r="L32" s="13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>
      <c r="A33" s="84" t="n"/>
      <c r="B33" s="129" t="n"/>
      <c r="C33" s="84" t="n"/>
      <c r="D33" s="84" t="n"/>
      <c r="E33" s="130" t="n"/>
      <c r="F33" s="84" t="n"/>
      <c r="G33" s="84" t="n"/>
      <c r="H33" s="84" t="n"/>
      <c r="I33" s="84" t="n"/>
      <c r="J33" s="84" t="n"/>
      <c r="K33" s="84" t="n"/>
      <c r="L33" s="13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>
      <c r="A34" s="84" t="n"/>
      <c r="B34" s="129" t="n"/>
      <c r="C34" s="84" t="n"/>
      <c r="D34" s="84" t="n"/>
      <c r="E34" s="130" t="n"/>
      <c r="F34" s="84" t="n"/>
      <c r="G34" s="84" t="n"/>
      <c r="H34" s="84" t="n"/>
      <c r="I34" s="84" t="n"/>
      <c r="J34" s="84" t="n"/>
      <c r="K34" s="84" t="n"/>
      <c r="L34" s="13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>
      <c r="A35" s="84" t="n"/>
      <c r="B35" s="129" t="n"/>
      <c r="C35" s="84" t="n"/>
      <c r="D35" s="84" t="n"/>
      <c r="E35" s="130" t="n"/>
      <c r="F35" s="84" t="n"/>
      <c r="G35" s="84" t="n"/>
      <c r="H35" s="84" t="n"/>
      <c r="I35" s="84" t="n"/>
      <c r="J35" s="84" t="n"/>
      <c r="K35" s="84" t="n"/>
      <c r="L35" s="13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>
      <c r="A36" s="84" t="n"/>
      <c r="B36" s="129" t="n"/>
      <c r="C36" s="84" t="n"/>
      <c r="D36" s="84" t="n"/>
      <c r="E36" s="130" t="n"/>
      <c r="F36" s="84" t="n"/>
      <c r="G36" s="84" t="n"/>
      <c r="H36" s="84" t="n"/>
      <c r="I36" s="84" t="n"/>
      <c r="J36" s="84" t="n"/>
      <c r="K36" s="84" t="n"/>
      <c r="L36" s="13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>
      <c r="A37" s="84" t="n"/>
      <c r="B37" s="129" t="n"/>
      <c r="C37" s="84" t="n"/>
      <c r="D37" s="84" t="n"/>
      <c r="E37" s="130" t="n"/>
      <c r="F37" s="84" t="n"/>
      <c r="G37" s="84" t="n"/>
      <c r="H37" s="84" t="n"/>
      <c r="I37" s="84" t="n"/>
      <c r="J37" s="84" t="n"/>
      <c r="K37" s="84" t="n"/>
      <c r="L37" s="13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>
      <c r="A38" s="84" t="n"/>
      <c r="B38" s="129" t="n"/>
      <c r="C38" s="84" t="n"/>
      <c r="D38" s="84" t="n"/>
      <c r="E38" s="130" t="n"/>
      <c r="F38" s="84" t="n"/>
      <c r="G38" s="84" t="n"/>
      <c r="H38" s="84" t="n"/>
      <c r="I38" s="84" t="n"/>
      <c r="J38" s="84" t="n"/>
      <c r="K38" s="84" t="n"/>
      <c r="L38" s="13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>
      <c r="A39" s="84" t="n"/>
      <c r="B39" s="129" t="n"/>
      <c r="C39" s="84" t="n"/>
      <c r="D39" s="84" t="n"/>
      <c r="E39" s="130" t="n"/>
      <c r="F39" s="84" t="n"/>
      <c r="G39" s="84" t="n"/>
      <c r="H39" s="84" t="n"/>
      <c r="I39" s="84" t="n"/>
      <c r="J39" s="84" t="n"/>
      <c r="K39" s="84" t="n"/>
      <c r="L39" s="13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>
      <c r="A40" s="84" t="n"/>
      <c r="B40" s="129" t="n"/>
      <c r="C40" s="84" t="n"/>
      <c r="D40" s="84" t="n"/>
      <c r="E40" s="130" t="n"/>
      <c r="F40" s="84" t="n"/>
      <c r="G40" s="84" t="n"/>
      <c r="H40" s="84" t="n"/>
      <c r="I40" s="84" t="n"/>
      <c r="J40" s="84" t="n"/>
      <c r="K40" s="84" t="n"/>
      <c r="L40" s="13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>
      <c r="A41" s="84" t="n"/>
      <c r="B41" s="129" t="n"/>
      <c r="C41" s="84" t="n"/>
      <c r="D41" s="84" t="n"/>
      <c r="E41" s="130" t="n"/>
      <c r="F41" s="84" t="n"/>
      <c r="G41" s="84" t="n"/>
      <c r="H41" s="84" t="n"/>
      <c r="I41" s="84" t="n"/>
      <c r="J41" s="84" t="n"/>
      <c r="K41" s="84" t="n"/>
      <c r="L41" s="13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>
      <c r="A42" s="84" t="n"/>
      <c r="B42" s="129" t="n"/>
      <c r="C42" s="84" t="n"/>
      <c r="D42" s="84" t="n"/>
      <c r="E42" s="130" t="n"/>
      <c r="F42" s="84" t="n"/>
      <c r="G42" s="84" t="n"/>
      <c r="H42" s="84" t="n"/>
      <c r="I42" s="84" t="n"/>
      <c r="J42" s="84" t="n"/>
      <c r="K42" s="84" t="n"/>
      <c r="L42" s="13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84" t="n"/>
      <c r="B43" s="129" t="n"/>
      <c r="C43" s="84" t="n"/>
      <c r="D43" s="84" t="n"/>
      <c r="E43" s="130" t="n"/>
      <c r="F43" s="84" t="n"/>
      <c r="G43" s="84" t="n"/>
      <c r="H43" s="84" t="n"/>
      <c r="I43" s="84" t="n"/>
      <c r="J43" s="84" t="n"/>
      <c r="K43" s="84" t="n"/>
      <c r="L43" s="13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>
      <c r="A44" s="84" t="n"/>
      <c r="B44" s="129" t="n"/>
      <c r="C44" s="84" t="n"/>
      <c r="D44" s="84" t="n"/>
      <c r="E44" s="130" t="n"/>
      <c r="F44" s="84" t="n"/>
      <c r="G44" s="84" t="n"/>
      <c r="H44" s="84" t="n"/>
      <c r="I44" s="84" t="n"/>
      <c r="J44" s="84" t="n"/>
      <c r="K44" s="84" t="n"/>
      <c r="L44" s="13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>
      <c r="A45" s="84" t="n"/>
      <c r="B45" s="129" t="n"/>
      <c r="C45" s="84" t="n"/>
      <c r="D45" s="84" t="n"/>
      <c r="E45" s="130" t="n"/>
      <c r="F45" s="84" t="n"/>
      <c r="G45" s="84" t="n"/>
      <c r="H45" s="84" t="n"/>
      <c r="I45" s="84" t="n"/>
      <c r="J45" s="84" t="n"/>
      <c r="K45" s="84" t="n"/>
      <c r="L45" s="13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>
      <c r="A46" s="84" t="n"/>
      <c r="B46" s="129" t="n"/>
      <c r="C46" s="84" t="n"/>
      <c r="D46" s="84" t="n"/>
      <c r="E46" s="130" t="n"/>
      <c r="F46" s="84" t="n"/>
      <c r="G46" s="84" t="n"/>
      <c r="H46" s="84" t="n"/>
      <c r="I46" s="84" t="n"/>
      <c r="J46" s="84" t="n"/>
      <c r="K46" s="84" t="n"/>
      <c r="L46" s="13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>
      <c r="A47" s="84" t="n"/>
      <c r="B47" s="129" t="n"/>
      <c r="C47" s="84" t="n"/>
      <c r="D47" s="84" t="n"/>
      <c r="E47" s="130" t="n"/>
      <c r="F47" s="84" t="n"/>
      <c r="G47" s="84" t="n"/>
      <c r="H47" s="84" t="n"/>
      <c r="I47" s="84" t="n"/>
      <c r="J47" s="84" t="n"/>
      <c r="K47" s="84" t="n"/>
      <c r="L47" s="13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>
      <c r="A48" s="84" t="n"/>
      <c r="B48" s="129" t="n"/>
      <c r="C48" s="84" t="n"/>
      <c r="D48" s="84" t="n"/>
      <c r="E48" s="130" t="n"/>
      <c r="F48" s="84" t="n"/>
      <c r="G48" s="84" t="n"/>
      <c r="H48" s="84" t="n"/>
      <c r="I48" s="84" t="n"/>
      <c r="J48" s="84" t="n"/>
      <c r="K48" s="84" t="n"/>
      <c r="L48" s="13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>
      <c r="A49" s="84" t="n"/>
      <c r="B49" s="129" t="n"/>
      <c r="C49" s="84" t="n"/>
      <c r="D49" s="84" t="n"/>
      <c r="E49" s="130" t="n"/>
      <c r="F49" s="84" t="n"/>
      <c r="G49" s="84" t="n"/>
      <c r="H49" s="84" t="n"/>
      <c r="I49" s="84" t="n"/>
      <c r="J49" s="84" t="n"/>
      <c r="K49" s="84" t="n"/>
      <c r="L49" s="13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>
      <c r="A50" s="84" t="n"/>
      <c r="B50" s="129" t="n"/>
      <c r="C50" s="84" t="n"/>
      <c r="D50" s="84" t="n"/>
      <c r="E50" s="130" t="n"/>
      <c r="F50" s="84" t="n"/>
      <c r="G50" s="84" t="n"/>
      <c r="H50" s="84" t="n"/>
      <c r="I50" s="84" t="n"/>
      <c r="J50" s="84" t="n"/>
      <c r="K50" s="84" t="n"/>
      <c r="L50" s="13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>
      <c r="A51" s="84" t="n"/>
      <c r="B51" s="129" t="n"/>
      <c r="C51" s="84" t="n"/>
      <c r="D51" s="84" t="n"/>
      <c r="E51" s="130" t="n"/>
      <c r="F51" s="84" t="n"/>
      <c r="G51" s="84" t="n"/>
      <c r="H51" s="84" t="n"/>
      <c r="I51" s="84" t="n"/>
      <c r="J51" s="84" t="n"/>
      <c r="K51" s="84" t="n"/>
      <c r="L51" s="13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>
      <c r="A52" s="84" t="n"/>
      <c r="B52" s="129" t="n"/>
      <c r="C52" s="84" t="n"/>
      <c r="D52" s="84" t="n"/>
      <c r="E52" s="130" t="n"/>
      <c r="F52" s="84" t="n"/>
      <c r="G52" s="84" t="n"/>
      <c r="H52" s="84" t="n"/>
      <c r="I52" s="84" t="n"/>
      <c r="J52" s="84" t="n"/>
      <c r="K52" s="84" t="n"/>
      <c r="L52" s="13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>
      <c r="A53" s="84" t="n"/>
      <c r="B53" s="129" t="n"/>
      <c r="C53" s="84" t="n"/>
      <c r="D53" s="84" t="n"/>
      <c r="E53" s="130" t="n"/>
      <c r="F53" s="84" t="n"/>
      <c r="G53" s="84" t="n"/>
      <c r="H53" s="84" t="n"/>
      <c r="I53" s="84" t="n"/>
      <c r="J53" s="84" t="n"/>
      <c r="K53" s="84" t="n"/>
      <c r="L53" s="13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>
      <c r="A54" s="84" t="n"/>
      <c r="B54" s="129" t="n"/>
      <c r="C54" s="84" t="n"/>
      <c r="D54" s="84" t="n"/>
      <c r="E54" s="130" t="n"/>
      <c r="F54" s="84" t="n"/>
      <c r="G54" s="84" t="n"/>
      <c r="H54" s="84" t="n"/>
      <c r="I54" s="84" t="n"/>
      <c r="J54" s="84" t="n"/>
      <c r="K54" s="84" t="n"/>
      <c r="L54" s="13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>
      <c r="A55" s="84" t="n"/>
      <c r="B55" s="129" t="n"/>
      <c r="C55" s="84" t="n"/>
      <c r="D55" s="84" t="n"/>
      <c r="E55" s="130" t="n"/>
      <c r="F55" s="84" t="n"/>
      <c r="G55" s="84" t="n"/>
      <c r="H55" s="84" t="n"/>
      <c r="I55" s="84" t="n"/>
      <c r="J55" s="84" t="n"/>
      <c r="K55" s="84" t="n"/>
      <c r="L55" s="13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>
      <c r="A56" s="84" t="n"/>
      <c r="B56" s="129" t="n"/>
      <c r="C56" s="84" t="n"/>
      <c r="D56" s="84" t="n"/>
      <c r="E56" s="130" t="n"/>
      <c r="F56" s="84" t="n"/>
      <c r="G56" s="84" t="n"/>
      <c r="H56" s="84" t="n"/>
      <c r="I56" s="84" t="n"/>
      <c r="J56" s="84" t="n"/>
      <c r="K56" s="84" t="n"/>
      <c r="L56" s="13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>
      <c r="A57" s="84" t="n"/>
      <c r="B57" s="129" t="n"/>
      <c r="C57" s="84" t="n"/>
      <c r="D57" s="84" t="n"/>
      <c r="E57" s="130" t="n"/>
      <c r="F57" s="84" t="n"/>
      <c r="G57" s="84" t="n"/>
      <c r="H57" s="84" t="n"/>
      <c r="I57" s="84" t="n"/>
      <c r="J57" s="84" t="n"/>
      <c r="K57" s="84" t="n"/>
      <c r="L57" s="13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>
      <c r="A58" s="84" t="n"/>
      <c r="B58" s="129" t="n"/>
      <c r="C58" s="84" t="n"/>
      <c r="D58" s="84" t="n"/>
      <c r="E58" s="130" t="n"/>
      <c r="F58" s="84" t="n"/>
      <c r="G58" s="84" t="n"/>
      <c r="H58" s="84" t="n"/>
      <c r="I58" s="84" t="n"/>
      <c r="J58" s="84" t="n"/>
      <c r="K58" s="84" t="n"/>
      <c r="L58" s="13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>
      <c r="A59" s="84" t="n"/>
      <c r="B59" s="129" t="n"/>
      <c r="C59" s="84" t="n"/>
      <c r="D59" s="84" t="n"/>
      <c r="E59" s="130" t="n"/>
      <c r="F59" s="84" t="n"/>
      <c r="G59" s="84" t="n"/>
      <c r="H59" s="84" t="n"/>
      <c r="I59" s="84" t="n"/>
      <c r="J59" s="84" t="n"/>
      <c r="K59" s="84" t="n"/>
      <c r="L59" s="13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>
      <c r="A60" s="84" t="n"/>
      <c r="B60" s="129" t="n"/>
      <c r="C60" s="84" t="n"/>
      <c r="D60" s="84" t="n"/>
      <c r="E60" s="130" t="n"/>
      <c r="F60" s="84" t="n"/>
      <c r="G60" s="84" t="n"/>
      <c r="H60" s="84" t="n"/>
      <c r="I60" s="84" t="n"/>
      <c r="J60" s="84" t="n"/>
      <c r="K60" s="84" t="n"/>
      <c r="L60" s="13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>
      <c r="A61" s="84" t="n"/>
      <c r="B61" s="129" t="n"/>
      <c r="C61" s="84" t="n"/>
      <c r="D61" s="84" t="n"/>
      <c r="E61" s="130" t="n"/>
      <c r="F61" s="84" t="n"/>
      <c r="G61" s="84" t="n"/>
      <c r="H61" s="84" t="n"/>
      <c r="I61" s="84" t="n"/>
      <c r="J61" s="84" t="n"/>
      <c r="K61" s="84" t="n"/>
      <c r="L61" s="13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>
      <c r="A62" s="84" t="n"/>
      <c r="B62" s="129" t="n"/>
      <c r="C62" s="84" t="n"/>
      <c r="D62" s="84" t="n"/>
      <c r="E62" s="130" t="n"/>
      <c r="F62" s="84" t="n"/>
      <c r="G62" s="84" t="n"/>
      <c r="H62" s="84" t="n"/>
      <c r="I62" s="84" t="n"/>
      <c r="J62" s="84" t="n"/>
      <c r="K62" s="84" t="n"/>
      <c r="L62" s="13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>
      <c r="A63" s="84" t="n"/>
      <c r="B63" s="129" t="n"/>
      <c r="C63" s="84" t="n"/>
      <c r="D63" s="84" t="n"/>
      <c r="E63" s="130" t="n"/>
      <c r="F63" s="84" t="n"/>
      <c r="G63" s="84" t="n"/>
      <c r="H63" s="84" t="n"/>
      <c r="I63" s="84" t="n"/>
      <c r="J63" s="84" t="n"/>
      <c r="K63" s="84" t="n"/>
      <c r="L63" s="13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>
      <c r="A64" s="84" t="n"/>
      <c r="B64" s="129" t="n"/>
      <c r="C64" s="84" t="n"/>
      <c r="D64" s="84" t="n"/>
      <c r="E64" s="130" t="n"/>
      <c r="F64" s="84" t="n"/>
      <c r="G64" s="84" t="n"/>
      <c r="H64" s="84" t="n"/>
      <c r="I64" s="84" t="n"/>
      <c r="J64" s="84" t="n"/>
      <c r="K64" s="84" t="n"/>
      <c r="L64" s="13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>
      <c r="A65" s="84" t="n"/>
      <c r="B65" s="129" t="n"/>
      <c r="C65" s="84" t="n"/>
      <c r="D65" s="84" t="n"/>
      <c r="E65" s="130" t="n"/>
      <c r="F65" s="84" t="n"/>
      <c r="G65" s="84" t="n"/>
      <c r="H65" s="84" t="n"/>
      <c r="I65" s="84" t="n"/>
      <c r="J65" s="84" t="n"/>
      <c r="K65" s="84" t="n"/>
      <c r="L65" s="13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>
      <c r="A66" s="84" t="n"/>
      <c r="B66" s="129" t="n"/>
      <c r="C66" s="84" t="n"/>
      <c r="D66" s="84" t="n"/>
      <c r="E66" s="130" t="n"/>
      <c r="F66" s="84" t="n"/>
      <c r="G66" s="84" t="n"/>
      <c r="H66" s="84" t="n"/>
      <c r="I66" s="84" t="n"/>
      <c r="J66" s="84" t="n"/>
      <c r="K66" s="84" t="n"/>
      <c r="L66" s="13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>
      <c r="A67" s="84" t="n"/>
      <c r="B67" s="129" t="n"/>
      <c r="C67" s="84" t="n"/>
      <c r="D67" s="84" t="n"/>
      <c r="E67" s="130" t="n"/>
      <c r="F67" s="84" t="n"/>
      <c r="G67" s="84" t="n"/>
      <c r="H67" s="84" t="n"/>
      <c r="I67" s="84" t="n"/>
      <c r="J67" s="84" t="n"/>
      <c r="K67" s="84" t="n"/>
      <c r="L67" s="13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>
      <c r="A68" s="84" t="n"/>
      <c r="B68" s="129" t="n"/>
      <c r="C68" s="84" t="n"/>
      <c r="D68" s="84" t="n"/>
      <c r="E68" s="130" t="n"/>
      <c r="F68" s="84" t="n"/>
      <c r="G68" s="84" t="n"/>
      <c r="H68" s="84" t="n"/>
      <c r="I68" s="84" t="n"/>
      <c r="J68" s="84" t="n"/>
      <c r="K68" s="84" t="n"/>
      <c r="L68" s="13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>
      <c r="A69" s="84" t="n"/>
      <c r="B69" s="129" t="n"/>
      <c r="C69" s="84" t="n"/>
      <c r="D69" s="84" t="n"/>
      <c r="E69" s="130" t="n"/>
      <c r="F69" s="84" t="n"/>
      <c r="G69" s="84" t="n"/>
      <c r="H69" s="84" t="n"/>
      <c r="I69" s="84" t="n"/>
      <c r="J69" s="84" t="n"/>
      <c r="K69" s="84" t="n"/>
      <c r="L69" s="13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>
      <c r="A70" s="84" t="n"/>
      <c r="B70" s="129" t="n"/>
      <c r="C70" s="84" t="n"/>
      <c r="D70" s="84" t="n"/>
      <c r="E70" s="130" t="n"/>
      <c r="F70" s="84" t="n"/>
      <c r="G70" s="84" t="n"/>
      <c r="H70" s="84" t="n"/>
      <c r="I70" s="84" t="n"/>
      <c r="J70" s="84" t="n"/>
      <c r="K70" s="84" t="n"/>
      <c r="L70" s="13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>
      <c r="A71" s="84" t="n"/>
      <c r="B71" s="129" t="n"/>
      <c r="C71" s="84" t="n"/>
      <c r="D71" s="84" t="n"/>
      <c r="E71" s="130" t="n"/>
      <c r="F71" s="84" t="n"/>
      <c r="G71" s="84" t="n"/>
      <c r="H71" s="84" t="n"/>
      <c r="I71" s="84" t="n"/>
      <c r="J71" s="84" t="n"/>
      <c r="K71" s="84" t="n"/>
      <c r="L71" s="13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>
      <c r="A72" s="84" t="n"/>
      <c r="B72" s="129" t="n"/>
      <c r="C72" s="84" t="n"/>
      <c r="D72" s="84" t="n"/>
      <c r="E72" s="130" t="n"/>
      <c r="F72" s="84" t="n"/>
      <c r="G72" s="84" t="n"/>
      <c r="H72" s="84" t="n"/>
      <c r="I72" s="84" t="n"/>
      <c r="J72" s="84" t="n"/>
      <c r="K72" s="84" t="n"/>
      <c r="L72" s="13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>
      <c r="A73" s="84" t="n"/>
      <c r="B73" s="129" t="n"/>
      <c r="C73" s="84" t="n"/>
      <c r="D73" s="84" t="n"/>
      <c r="E73" s="130" t="n"/>
      <c r="F73" s="84" t="n"/>
      <c r="G73" s="84" t="n"/>
      <c r="H73" s="84" t="n"/>
      <c r="I73" s="84" t="n"/>
      <c r="J73" s="84" t="n"/>
      <c r="K73" s="84" t="n"/>
      <c r="L73" s="13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>
      <c r="A74" s="84" t="n"/>
      <c r="B74" s="129" t="n"/>
      <c r="C74" s="84" t="n"/>
      <c r="D74" s="84" t="n"/>
      <c r="E74" s="130" t="n"/>
      <c r="F74" s="84" t="n"/>
      <c r="G74" s="84" t="n"/>
      <c r="H74" s="84" t="n"/>
      <c r="I74" s="84" t="n"/>
      <c r="J74" s="84" t="n"/>
      <c r="K74" s="84" t="n"/>
      <c r="L74" s="13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>
      <c r="A75" s="84" t="n"/>
      <c r="B75" s="129" t="n"/>
      <c r="C75" s="84" t="n"/>
      <c r="D75" s="84" t="n"/>
      <c r="E75" s="130" t="n"/>
      <c r="F75" s="84" t="n"/>
      <c r="G75" s="84" t="n"/>
      <c r="H75" s="84" t="n"/>
      <c r="I75" s="84" t="n"/>
      <c r="J75" s="84" t="n"/>
      <c r="K75" s="84" t="n"/>
      <c r="L75" s="13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>
      <c r="A76" s="84" t="n"/>
      <c r="B76" s="129" t="n"/>
      <c r="C76" s="84" t="n"/>
      <c r="D76" s="84" t="n"/>
      <c r="E76" s="130" t="n"/>
      <c r="F76" s="84" t="n"/>
      <c r="G76" s="84" t="n"/>
      <c r="H76" s="84" t="n"/>
      <c r="I76" s="84" t="n"/>
      <c r="J76" s="84" t="n"/>
      <c r="K76" s="84" t="n"/>
      <c r="L76" s="13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>
      <c r="A77" s="84" t="n"/>
      <c r="B77" s="129" t="n"/>
      <c r="C77" s="84" t="n"/>
      <c r="D77" s="84" t="n"/>
      <c r="E77" s="130" t="n"/>
      <c r="F77" s="84" t="n"/>
      <c r="G77" s="84" t="n"/>
      <c r="H77" s="84" t="n"/>
      <c r="I77" s="84" t="n"/>
      <c r="J77" s="84" t="n"/>
      <c r="K77" s="84" t="n"/>
      <c r="L77" s="13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>
      <c r="A78" s="84" t="n"/>
      <c r="B78" s="129" t="n"/>
      <c r="C78" s="84" t="n"/>
      <c r="D78" s="84" t="n"/>
      <c r="E78" s="130" t="n"/>
      <c r="F78" s="84" t="n"/>
      <c r="G78" s="84" t="n"/>
      <c r="H78" s="84" t="n"/>
      <c r="I78" s="84" t="n"/>
      <c r="J78" s="84" t="n"/>
      <c r="K78" s="84" t="n"/>
      <c r="L78" s="13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>
      <c r="A79" s="84" t="n"/>
      <c r="B79" s="129" t="n"/>
      <c r="C79" s="84" t="n"/>
      <c r="D79" s="84" t="n"/>
      <c r="E79" s="130" t="n"/>
      <c r="F79" s="84" t="n"/>
      <c r="G79" s="84" t="n"/>
      <c r="H79" s="84" t="n"/>
      <c r="I79" s="84" t="n"/>
      <c r="J79" s="84" t="n"/>
      <c r="K79" s="84" t="n"/>
      <c r="L79" s="13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>
      <c r="A80" s="84" t="n"/>
      <c r="B80" s="129" t="n"/>
      <c r="C80" s="84" t="n"/>
      <c r="D80" s="84" t="n"/>
      <c r="E80" s="130" t="n"/>
      <c r="F80" s="84" t="n"/>
      <c r="G80" s="84" t="n"/>
      <c r="H80" s="84" t="n"/>
      <c r="I80" s="84" t="n"/>
      <c r="J80" s="84" t="n"/>
      <c r="K80" s="84" t="n"/>
      <c r="L80" s="13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>
      <c r="A81" s="84" t="n"/>
      <c r="B81" s="129" t="n"/>
      <c r="C81" s="84" t="n"/>
      <c r="D81" s="84" t="n"/>
      <c r="E81" s="130" t="n"/>
      <c r="F81" s="84" t="n"/>
      <c r="G81" s="84" t="n"/>
      <c r="H81" s="84" t="n"/>
      <c r="I81" s="84" t="n"/>
      <c r="J81" s="84" t="n"/>
      <c r="K81" s="84" t="n"/>
      <c r="L81" s="13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>
      <c r="A82" s="84" t="n"/>
      <c r="B82" s="129" t="n"/>
      <c r="C82" s="84" t="n"/>
      <c r="D82" s="84" t="n"/>
      <c r="E82" s="130" t="n"/>
      <c r="F82" s="84" t="n"/>
      <c r="G82" s="84" t="n"/>
      <c r="H82" s="84" t="n"/>
      <c r="I82" s="84" t="n"/>
      <c r="J82" s="84" t="n"/>
      <c r="K82" s="84" t="n"/>
      <c r="L82" s="13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>
      <c r="A83" s="84" t="n"/>
      <c r="B83" s="129" t="n"/>
      <c r="C83" s="84" t="n"/>
      <c r="D83" s="84" t="n"/>
      <c r="E83" s="130" t="n"/>
      <c r="F83" s="84" t="n"/>
      <c r="G83" s="84" t="n"/>
      <c r="H83" s="84" t="n"/>
      <c r="I83" s="84" t="n"/>
      <c r="J83" s="84" t="n"/>
      <c r="K83" s="84" t="n"/>
      <c r="L83" s="13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>
      <c r="A84" s="84" t="n"/>
      <c r="B84" s="129" t="n"/>
      <c r="C84" s="84" t="n"/>
      <c r="D84" s="84" t="n"/>
      <c r="E84" s="130" t="n"/>
      <c r="F84" s="84" t="n"/>
      <c r="G84" s="84" t="n"/>
      <c r="H84" s="84" t="n"/>
      <c r="I84" s="84" t="n"/>
      <c r="J84" s="84" t="n"/>
      <c r="K84" s="84" t="n"/>
      <c r="L84" s="13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>
      <c r="A85" s="84" t="n"/>
      <c r="B85" s="129" t="n"/>
      <c r="C85" s="84" t="n"/>
      <c r="D85" s="84" t="n"/>
      <c r="E85" s="130" t="n"/>
      <c r="F85" s="84" t="n"/>
      <c r="G85" s="84" t="n"/>
      <c r="H85" s="84" t="n"/>
      <c r="I85" s="84" t="n"/>
      <c r="J85" s="84" t="n"/>
      <c r="K85" s="84" t="n"/>
      <c r="L85" s="13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>
      <c r="A86" s="84" t="n"/>
      <c r="B86" s="129" t="n"/>
      <c r="C86" s="84" t="n"/>
      <c r="D86" s="84" t="n"/>
      <c r="E86" s="130" t="n"/>
      <c r="F86" s="84" t="n"/>
      <c r="G86" s="84" t="n"/>
      <c r="H86" s="84" t="n"/>
      <c r="I86" s="84" t="n"/>
      <c r="J86" s="84" t="n"/>
      <c r="K86" s="84" t="n"/>
      <c r="L86" s="13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>
      <c r="A87" s="84" t="n"/>
      <c r="B87" s="129" t="n"/>
      <c r="C87" s="84" t="n"/>
      <c r="D87" s="84" t="n"/>
      <c r="E87" s="130" t="n"/>
      <c r="F87" s="84" t="n"/>
      <c r="G87" s="84" t="n"/>
      <c r="H87" s="84" t="n"/>
      <c r="I87" s="84" t="n"/>
      <c r="J87" s="84" t="n"/>
      <c r="K87" s="84" t="n"/>
      <c r="L87" s="13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>
      <c r="A88" s="84" t="n"/>
      <c r="B88" s="129" t="n"/>
      <c r="C88" s="84" t="n"/>
      <c r="D88" s="84" t="n"/>
      <c r="E88" s="130" t="n"/>
      <c r="F88" s="84" t="n"/>
      <c r="G88" s="84" t="n"/>
      <c r="H88" s="84" t="n"/>
      <c r="I88" s="84" t="n"/>
      <c r="J88" s="84" t="n"/>
      <c r="K88" s="84" t="n"/>
      <c r="L88" s="13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>
      <c r="A89" s="84" t="n"/>
      <c r="B89" s="129" t="n"/>
      <c r="C89" s="84" t="n"/>
      <c r="D89" s="84" t="n"/>
      <c r="E89" s="130" t="n"/>
      <c r="F89" s="84" t="n"/>
      <c r="G89" s="84" t="n"/>
      <c r="H89" s="84" t="n"/>
      <c r="I89" s="84" t="n"/>
      <c r="J89" s="84" t="n"/>
      <c r="K89" s="84" t="n"/>
      <c r="L89" s="13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</row>
    <row r="90">
      <c r="A90" s="84" t="n"/>
      <c r="B90" s="129" t="n"/>
      <c r="C90" s="84" t="n"/>
      <c r="D90" s="84" t="n"/>
      <c r="E90" s="130" t="n"/>
      <c r="F90" s="84" t="n"/>
      <c r="G90" s="84" t="n"/>
      <c r="H90" s="84" t="n"/>
      <c r="I90" s="84" t="n"/>
      <c r="J90" s="84" t="n"/>
      <c r="K90" s="84" t="n"/>
      <c r="L90" s="13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</row>
    <row r="91">
      <c r="A91" s="84" t="n"/>
      <c r="B91" s="129" t="n"/>
      <c r="C91" s="84" t="n"/>
      <c r="D91" s="84" t="n"/>
      <c r="E91" s="130" t="n"/>
      <c r="F91" s="84" t="n"/>
      <c r="G91" s="84" t="n"/>
      <c r="H91" s="84" t="n"/>
      <c r="I91" s="84" t="n"/>
      <c r="J91" s="84" t="n"/>
      <c r="K91" s="84" t="n"/>
      <c r="L91" s="13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</row>
    <row r="92">
      <c r="A92" s="84" t="n"/>
      <c r="B92" s="129" t="n"/>
      <c r="C92" s="84" t="n"/>
      <c r="D92" s="84" t="n"/>
      <c r="E92" s="130" t="n"/>
      <c r="F92" s="84" t="n"/>
      <c r="G92" s="84" t="n"/>
      <c r="H92" s="84" t="n"/>
      <c r="I92" s="84" t="n"/>
      <c r="J92" s="84" t="n"/>
      <c r="K92" s="84" t="n"/>
      <c r="L92" s="13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</row>
    <row r="93">
      <c r="A93" s="84" t="n"/>
      <c r="B93" s="129" t="n"/>
      <c r="C93" s="84" t="n"/>
      <c r="D93" s="84" t="n"/>
      <c r="E93" s="130" t="n"/>
      <c r="F93" s="84" t="n"/>
      <c r="G93" s="84" t="n"/>
      <c r="H93" s="84" t="n"/>
      <c r="I93" s="84" t="n"/>
      <c r="J93" s="84" t="n"/>
      <c r="K93" s="84" t="n"/>
      <c r="L93" s="13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</row>
    <row r="94">
      <c r="A94" s="84" t="n"/>
      <c r="B94" s="129" t="n"/>
      <c r="C94" s="84" t="n"/>
      <c r="D94" s="84" t="n"/>
      <c r="E94" s="130" t="n"/>
      <c r="F94" s="84" t="n"/>
      <c r="G94" s="84" t="n"/>
      <c r="H94" s="84" t="n"/>
      <c r="I94" s="84" t="n"/>
      <c r="J94" s="84" t="n"/>
      <c r="K94" s="84" t="n"/>
      <c r="L94" s="13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</row>
    <row r="95">
      <c r="A95" s="84" t="n"/>
      <c r="B95" s="129" t="n"/>
      <c r="C95" s="84" t="n"/>
      <c r="D95" s="84" t="n"/>
      <c r="E95" s="130" t="n"/>
      <c r="F95" s="84" t="n"/>
      <c r="G95" s="84" t="n"/>
      <c r="H95" s="84" t="n"/>
      <c r="I95" s="84" t="n"/>
      <c r="J95" s="84" t="n"/>
      <c r="K95" s="84" t="n"/>
      <c r="L95" s="13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</row>
    <row r="96">
      <c r="A96" s="84" t="n"/>
      <c r="B96" s="129" t="n"/>
      <c r="C96" s="84" t="n"/>
      <c r="D96" s="84" t="n"/>
      <c r="E96" s="130" t="n"/>
      <c r="F96" s="84" t="n"/>
      <c r="G96" s="84" t="n"/>
      <c r="H96" s="84" t="n"/>
      <c r="I96" s="84" t="n"/>
      <c r="J96" s="84" t="n"/>
      <c r="K96" s="84" t="n"/>
      <c r="L96" s="13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</row>
    <row r="97">
      <c r="A97" s="84" t="n"/>
      <c r="B97" s="129" t="n"/>
      <c r="C97" s="84" t="n"/>
      <c r="D97" s="84" t="n"/>
      <c r="E97" s="130" t="n"/>
      <c r="F97" s="84" t="n"/>
      <c r="G97" s="84" t="n"/>
      <c r="H97" s="84" t="n"/>
      <c r="I97" s="84" t="n"/>
      <c r="J97" s="84" t="n"/>
      <c r="K97" s="84" t="n"/>
      <c r="L97" s="13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</row>
    <row r="98">
      <c r="A98" s="84" t="n"/>
      <c r="B98" s="129" t="n"/>
      <c r="C98" s="84" t="n"/>
      <c r="D98" s="84" t="n"/>
      <c r="E98" s="130" t="n"/>
      <c r="F98" s="84" t="n"/>
      <c r="G98" s="84" t="n"/>
      <c r="H98" s="84" t="n"/>
      <c r="I98" s="84" t="n"/>
      <c r="J98" s="84" t="n"/>
      <c r="K98" s="84" t="n"/>
      <c r="L98" s="13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</row>
    <row r="99">
      <c r="A99" s="84" t="n"/>
      <c r="B99" s="129" t="n"/>
      <c r="C99" s="84" t="n"/>
      <c r="D99" s="84" t="n"/>
      <c r="E99" s="130" t="n"/>
      <c r="F99" s="84" t="n"/>
      <c r="G99" s="84" t="n"/>
      <c r="H99" s="84" t="n"/>
      <c r="I99" s="84" t="n"/>
      <c r="J99" s="84" t="n"/>
      <c r="K99" s="84" t="n"/>
      <c r="L99" s="13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</row>
    <row r="100">
      <c r="A100" s="84" t="n"/>
      <c r="B100" s="129" t="n"/>
      <c r="C100" s="84" t="n"/>
      <c r="D100" s="84" t="n"/>
      <c r="E100" s="130" t="n"/>
      <c r="F100" s="84" t="n"/>
      <c r="G100" s="84" t="n"/>
      <c r="H100" s="84" t="n"/>
      <c r="I100" s="84" t="n"/>
      <c r="J100" s="84" t="n"/>
      <c r="K100" s="84" t="n"/>
      <c r="L100" s="13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</row>
    <row r="101">
      <c r="A101" s="84" t="n"/>
      <c r="B101" s="129" t="n"/>
      <c r="C101" s="84" t="n"/>
      <c r="D101" s="84" t="n"/>
      <c r="E101" s="130" t="n"/>
      <c r="F101" s="84" t="n"/>
      <c r="G101" s="84" t="n"/>
      <c r="H101" s="84" t="n"/>
      <c r="I101" s="84" t="n"/>
      <c r="J101" s="84" t="n"/>
      <c r="K101" s="84" t="n"/>
      <c r="L101" s="13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</row>
    <row r="102">
      <c r="A102" s="84" t="n"/>
      <c r="B102" s="129" t="n"/>
      <c r="C102" s="84" t="n"/>
      <c r="D102" s="84" t="n"/>
      <c r="E102" s="130" t="n"/>
      <c r="F102" s="84" t="n"/>
      <c r="G102" s="84" t="n"/>
      <c r="H102" s="84" t="n"/>
      <c r="I102" s="84" t="n"/>
      <c r="J102" s="84" t="n"/>
      <c r="K102" s="84" t="n"/>
      <c r="L102" s="13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</row>
    <row r="103">
      <c r="A103" s="84" t="n"/>
      <c r="B103" s="129" t="n"/>
      <c r="C103" s="84" t="n"/>
      <c r="D103" s="84" t="n"/>
      <c r="E103" s="130" t="n"/>
      <c r="F103" s="84" t="n"/>
      <c r="G103" s="84" t="n"/>
      <c r="H103" s="84" t="n"/>
      <c r="I103" s="84" t="n"/>
      <c r="J103" s="84" t="n"/>
      <c r="K103" s="84" t="n"/>
      <c r="L103" s="13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</row>
    <row r="104">
      <c r="A104" s="84" t="n"/>
      <c r="B104" s="129" t="n"/>
      <c r="C104" s="84" t="n"/>
      <c r="D104" s="84" t="n"/>
      <c r="E104" s="130" t="n"/>
      <c r="F104" s="84" t="n"/>
      <c r="G104" s="84" t="n"/>
      <c r="H104" s="84" t="n"/>
      <c r="I104" s="84" t="n"/>
      <c r="J104" s="84" t="n"/>
      <c r="K104" s="84" t="n"/>
      <c r="L104" s="13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</row>
    <row r="105">
      <c r="A105" s="84" t="n"/>
      <c r="B105" s="129" t="n"/>
      <c r="C105" s="84" t="n"/>
      <c r="D105" s="84" t="n"/>
      <c r="E105" s="130" t="n"/>
      <c r="F105" s="84" t="n"/>
      <c r="G105" s="84" t="n"/>
      <c r="H105" s="84" t="n"/>
      <c r="I105" s="84" t="n"/>
      <c r="J105" s="84" t="n"/>
      <c r="K105" s="84" t="n"/>
      <c r="L105" s="13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</row>
    <row r="106">
      <c r="A106" s="84" t="n"/>
      <c r="B106" s="129" t="n"/>
      <c r="C106" s="84" t="n"/>
      <c r="D106" s="84" t="n"/>
      <c r="E106" s="130" t="n"/>
      <c r="F106" s="84" t="n"/>
      <c r="G106" s="84" t="n"/>
      <c r="H106" s="84" t="n"/>
      <c r="I106" s="84" t="n"/>
      <c r="J106" s="84" t="n"/>
      <c r="K106" s="84" t="n"/>
      <c r="L106" s="13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</row>
    <row r="107">
      <c r="A107" s="84" t="n"/>
      <c r="B107" s="129" t="n"/>
      <c r="C107" s="84" t="n"/>
      <c r="D107" s="84" t="n"/>
      <c r="E107" s="130" t="n"/>
      <c r="F107" s="84" t="n"/>
      <c r="G107" s="84" t="n"/>
      <c r="H107" s="84" t="n"/>
      <c r="I107" s="84" t="n"/>
      <c r="J107" s="84" t="n"/>
      <c r="K107" s="84" t="n"/>
      <c r="L107" s="13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</row>
    <row r="108">
      <c r="A108" s="84" t="n"/>
      <c r="B108" s="129" t="n"/>
      <c r="C108" s="84" t="n"/>
      <c r="D108" s="84" t="n"/>
      <c r="E108" s="130" t="n"/>
      <c r="F108" s="84" t="n"/>
      <c r="G108" s="84" t="n"/>
      <c r="H108" s="84" t="n"/>
      <c r="I108" s="84" t="n"/>
      <c r="J108" s="84" t="n"/>
      <c r="K108" s="84" t="n"/>
      <c r="L108" s="13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</row>
    <row r="109">
      <c r="A109" s="84" t="n"/>
      <c r="B109" s="129" t="n"/>
      <c r="C109" s="84" t="n"/>
      <c r="D109" s="84" t="n"/>
      <c r="E109" s="130" t="n"/>
      <c r="F109" s="84" t="n"/>
      <c r="G109" s="84" t="n"/>
      <c r="H109" s="84" t="n"/>
      <c r="I109" s="84" t="n"/>
      <c r="J109" s="84" t="n"/>
      <c r="K109" s="84" t="n"/>
      <c r="L109" s="13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</row>
    <row r="110">
      <c r="A110" s="84" t="n"/>
      <c r="B110" s="129" t="n"/>
      <c r="C110" s="84" t="n"/>
      <c r="D110" s="84" t="n"/>
      <c r="E110" s="130" t="n"/>
      <c r="F110" s="84" t="n"/>
      <c r="G110" s="84" t="n"/>
      <c r="H110" s="84" t="n"/>
      <c r="I110" s="84" t="n"/>
      <c r="J110" s="84" t="n"/>
      <c r="K110" s="84" t="n"/>
      <c r="L110" s="13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</row>
    <row r="111">
      <c r="A111" s="84" t="n"/>
      <c r="B111" s="129" t="n"/>
      <c r="C111" s="84" t="n"/>
      <c r="D111" s="84" t="n"/>
      <c r="E111" s="130" t="n"/>
      <c r="F111" s="84" t="n"/>
      <c r="G111" s="84" t="n"/>
      <c r="H111" s="84" t="n"/>
      <c r="I111" s="84" t="n"/>
      <c r="J111" s="84" t="n"/>
      <c r="K111" s="84" t="n"/>
      <c r="L111" s="13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</row>
    <row r="112">
      <c r="A112" s="84" t="n"/>
      <c r="B112" s="129" t="n"/>
      <c r="C112" s="84" t="n"/>
      <c r="D112" s="84" t="n"/>
      <c r="E112" s="130" t="n"/>
      <c r="F112" s="84" t="n"/>
      <c r="G112" s="84" t="n"/>
      <c r="H112" s="84" t="n"/>
      <c r="I112" s="84" t="n"/>
      <c r="J112" s="84" t="n"/>
      <c r="K112" s="84" t="n"/>
      <c r="L112" s="13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</row>
    <row r="113">
      <c r="A113" s="84" t="n"/>
      <c r="B113" s="129" t="n"/>
      <c r="C113" s="84" t="n"/>
      <c r="D113" s="84" t="n"/>
      <c r="E113" s="130" t="n"/>
      <c r="F113" s="84" t="n"/>
      <c r="G113" s="84" t="n"/>
      <c r="H113" s="84" t="n"/>
      <c r="I113" s="84" t="n"/>
      <c r="J113" s="84" t="n"/>
      <c r="K113" s="84" t="n"/>
      <c r="L113" s="13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</row>
    <row r="114">
      <c r="A114" s="84" t="n"/>
      <c r="B114" s="129" t="n"/>
      <c r="C114" s="84" t="n"/>
      <c r="D114" s="84" t="n"/>
      <c r="E114" s="130" t="n"/>
      <c r="F114" s="84" t="n"/>
      <c r="G114" s="84" t="n"/>
      <c r="H114" s="84" t="n"/>
      <c r="I114" s="84" t="n"/>
      <c r="J114" s="84" t="n"/>
      <c r="K114" s="84" t="n"/>
      <c r="L114" s="13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</row>
    <row r="115">
      <c r="A115" s="84" t="n"/>
      <c r="B115" s="129" t="n"/>
      <c r="C115" s="84" t="n"/>
      <c r="D115" s="84" t="n"/>
      <c r="E115" s="130" t="n"/>
      <c r="F115" s="84" t="n"/>
      <c r="G115" s="84" t="n"/>
      <c r="H115" s="84" t="n"/>
      <c r="I115" s="84" t="n"/>
      <c r="J115" s="84" t="n"/>
      <c r="K115" s="84" t="n"/>
      <c r="L115" s="13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</row>
    <row r="116">
      <c r="A116" s="84" t="n"/>
      <c r="B116" s="129" t="n"/>
      <c r="C116" s="84" t="n"/>
      <c r="D116" s="84" t="n"/>
      <c r="E116" s="130" t="n"/>
      <c r="F116" s="84" t="n"/>
      <c r="G116" s="84" t="n"/>
      <c r="H116" s="84" t="n"/>
      <c r="I116" s="84" t="n"/>
      <c r="J116" s="84" t="n"/>
      <c r="K116" s="84" t="n"/>
      <c r="L116" s="13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</row>
    <row r="117">
      <c r="A117" s="84" t="n"/>
      <c r="B117" s="129" t="n"/>
      <c r="C117" s="84" t="n"/>
      <c r="D117" s="84" t="n"/>
      <c r="E117" s="130" t="n"/>
      <c r="F117" s="84" t="n"/>
      <c r="G117" s="84" t="n"/>
      <c r="H117" s="84" t="n"/>
      <c r="I117" s="84" t="n"/>
      <c r="J117" s="84" t="n"/>
      <c r="K117" s="84" t="n"/>
      <c r="L117" s="13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</row>
    <row r="118">
      <c r="A118" s="84" t="n"/>
      <c r="B118" s="129" t="n"/>
      <c r="C118" s="84" t="n"/>
      <c r="D118" s="84" t="n"/>
      <c r="E118" s="130" t="n"/>
      <c r="F118" s="84" t="n"/>
      <c r="G118" s="84" t="n"/>
      <c r="H118" s="84" t="n"/>
      <c r="I118" s="84" t="n"/>
      <c r="J118" s="84" t="n"/>
      <c r="K118" s="84" t="n"/>
      <c r="L118" s="13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</row>
    <row r="119">
      <c r="A119" s="84" t="n"/>
      <c r="B119" s="129" t="n"/>
      <c r="C119" s="84" t="n"/>
      <c r="D119" s="84" t="n"/>
      <c r="E119" s="130" t="n"/>
      <c r="F119" s="84" t="n"/>
      <c r="G119" s="84" t="n"/>
      <c r="H119" s="84" t="n"/>
      <c r="I119" s="84" t="n"/>
      <c r="J119" s="84" t="n"/>
      <c r="K119" s="84" t="n"/>
      <c r="L119" s="13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</row>
    <row r="120">
      <c r="A120" s="84" t="n"/>
      <c r="B120" s="129" t="n"/>
      <c r="C120" s="84" t="n"/>
      <c r="D120" s="84" t="n"/>
      <c r="E120" s="130" t="n"/>
      <c r="F120" s="84" t="n"/>
      <c r="G120" s="84" t="n"/>
      <c r="H120" s="84" t="n"/>
      <c r="I120" s="84" t="n"/>
      <c r="J120" s="84" t="n"/>
      <c r="K120" s="84" t="n"/>
      <c r="L120" s="13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</row>
    <row r="121">
      <c r="A121" s="84" t="n"/>
      <c r="B121" s="129" t="n"/>
      <c r="C121" s="84" t="n"/>
      <c r="D121" s="84" t="n"/>
      <c r="E121" s="130" t="n"/>
      <c r="F121" s="84" t="n"/>
      <c r="G121" s="84" t="n"/>
      <c r="H121" s="84" t="n"/>
      <c r="I121" s="84" t="n"/>
      <c r="J121" s="84" t="n"/>
      <c r="K121" s="84" t="n"/>
      <c r="L121" s="13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</row>
    <row r="122">
      <c r="A122" s="84" t="n"/>
      <c r="B122" s="129" t="n"/>
      <c r="C122" s="84" t="n"/>
      <c r="D122" s="84" t="n"/>
      <c r="E122" s="130" t="n"/>
      <c r="F122" s="84" t="n"/>
      <c r="G122" s="84" t="n"/>
      <c r="H122" s="84" t="n"/>
      <c r="I122" s="84" t="n"/>
      <c r="J122" s="84" t="n"/>
      <c r="K122" s="84" t="n"/>
      <c r="L122" s="13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</row>
    <row r="123">
      <c r="A123" s="84" t="n"/>
      <c r="B123" s="129" t="n"/>
      <c r="C123" s="84" t="n"/>
      <c r="D123" s="84" t="n"/>
      <c r="E123" s="130" t="n"/>
      <c r="F123" s="84" t="n"/>
      <c r="G123" s="84" t="n"/>
      <c r="H123" s="84" t="n"/>
      <c r="I123" s="84" t="n"/>
      <c r="J123" s="84" t="n"/>
      <c r="K123" s="84" t="n"/>
      <c r="L123" s="13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</row>
    <row r="124">
      <c r="A124" s="84" t="n"/>
      <c r="B124" s="129" t="n"/>
      <c r="C124" s="84" t="n"/>
      <c r="D124" s="84" t="n"/>
      <c r="E124" s="130" t="n"/>
      <c r="F124" s="84" t="n"/>
      <c r="G124" s="84" t="n"/>
      <c r="H124" s="84" t="n"/>
      <c r="I124" s="84" t="n"/>
      <c r="J124" s="84" t="n"/>
      <c r="K124" s="84" t="n"/>
      <c r="L124" s="13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</row>
    <row r="125">
      <c r="A125" s="84" t="n"/>
      <c r="B125" s="129" t="n"/>
      <c r="C125" s="84" t="n"/>
      <c r="D125" s="84" t="n"/>
      <c r="E125" s="130" t="n"/>
      <c r="F125" s="84" t="n"/>
      <c r="G125" s="84" t="n"/>
      <c r="H125" s="84" t="n"/>
      <c r="I125" s="84" t="n"/>
      <c r="J125" s="84" t="n"/>
      <c r="K125" s="84" t="n"/>
      <c r="L125" s="13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</row>
    <row r="126">
      <c r="A126" s="84" t="n"/>
      <c r="B126" s="129" t="n"/>
      <c r="C126" s="84" t="n"/>
      <c r="D126" s="84" t="n"/>
      <c r="E126" s="130" t="n"/>
      <c r="F126" s="84" t="n"/>
      <c r="G126" s="84" t="n"/>
      <c r="H126" s="84" t="n"/>
      <c r="I126" s="84" t="n"/>
      <c r="J126" s="84" t="n"/>
      <c r="K126" s="84" t="n"/>
      <c r="L126" s="13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</row>
    <row r="127">
      <c r="A127" s="84" t="n"/>
      <c r="B127" s="129" t="n"/>
      <c r="C127" s="84" t="n"/>
      <c r="D127" s="84" t="n"/>
      <c r="E127" s="130" t="n"/>
      <c r="F127" s="84" t="n"/>
      <c r="G127" s="84" t="n"/>
      <c r="H127" s="84" t="n"/>
      <c r="I127" s="84" t="n"/>
      <c r="J127" s="84" t="n"/>
      <c r="K127" s="84" t="n"/>
      <c r="L127" s="13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</row>
    <row r="128">
      <c r="A128" s="84" t="n"/>
      <c r="B128" s="129" t="n"/>
      <c r="C128" s="84" t="n"/>
      <c r="D128" s="84" t="n"/>
      <c r="E128" s="130" t="n"/>
      <c r="F128" s="84" t="n"/>
      <c r="G128" s="84" t="n"/>
      <c r="H128" s="84" t="n"/>
      <c r="I128" s="84" t="n"/>
      <c r="J128" s="84" t="n"/>
      <c r="K128" s="84" t="n"/>
      <c r="L128" s="13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</row>
    <row r="129">
      <c r="A129" s="84" t="n"/>
      <c r="B129" s="129" t="n"/>
      <c r="C129" s="84" t="n"/>
      <c r="D129" s="84" t="n"/>
      <c r="E129" s="130" t="n"/>
      <c r="F129" s="84" t="n"/>
      <c r="G129" s="84" t="n"/>
      <c r="H129" s="84" t="n"/>
      <c r="I129" s="84" t="n"/>
      <c r="J129" s="84" t="n"/>
      <c r="K129" s="84" t="n"/>
      <c r="L129" s="13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</row>
    <row r="130">
      <c r="A130" s="84" t="n"/>
      <c r="B130" s="129" t="n"/>
      <c r="C130" s="84" t="n"/>
      <c r="D130" s="84" t="n"/>
      <c r="E130" s="130" t="n"/>
      <c r="F130" s="84" t="n"/>
      <c r="G130" s="84" t="n"/>
      <c r="H130" s="84" t="n"/>
      <c r="I130" s="84" t="n"/>
      <c r="J130" s="84" t="n"/>
      <c r="K130" s="84" t="n"/>
      <c r="L130" s="13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</row>
    <row r="131">
      <c r="A131" s="84" t="n"/>
      <c r="B131" s="129" t="n"/>
      <c r="C131" s="84" t="n"/>
      <c r="D131" s="84" t="n"/>
      <c r="E131" s="130" t="n"/>
      <c r="F131" s="84" t="n"/>
      <c r="G131" s="84" t="n"/>
      <c r="H131" s="84" t="n"/>
      <c r="I131" s="84" t="n"/>
      <c r="J131" s="84" t="n"/>
      <c r="K131" s="84" t="n"/>
      <c r="L131" s="13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</row>
    <row r="132">
      <c r="A132" s="84" t="n"/>
      <c r="B132" s="129" t="n"/>
      <c r="C132" s="84" t="n"/>
      <c r="D132" s="84" t="n"/>
      <c r="E132" s="130" t="n"/>
      <c r="F132" s="84" t="n"/>
      <c r="G132" s="84" t="n"/>
      <c r="H132" s="84" t="n"/>
      <c r="I132" s="84" t="n"/>
      <c r="J132" s="84" t="n"/>
      <c r="K132" s="84" t="n"/>
      <c r="L132" s="13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</row>
    <row r="133">
      <c r="A133" s="84" t="n"/>
      <c r="B133" s="129" t="n"/>
      <c r="C133" s="84" t="n"/>
      <c r="D133" s="84" t="n"/>
      <c r="E133" s="130" t="n"/>
      <c r="F133" s="84" t="n"/>
      <c r="G133" s="84" t="n"/>
      <c r="H133" s="84" t="n"/>
      <c r="I133" s="84" t="n"/>
      <c r="J133" s="84" t="n"/>
      <c r="K133" s="84" t="n"/>
      <c r="L133" s="13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</row>
    <row r="134">
      <c r="A134" s="84" t="n"/>
      <c r="B134" s="129" t="n"/>
      <c r="C134" s="84" t="n"/>
      <c r="D134" s="84" t="n"/>
      <c r="E134" s="130" t="n"/>
      <c r="F134" s="84" t="n"/>
      <c r="G134" s="84" t="n"/>
      <c r="H134" s="84" t="n"/>
      <c r="I134" s="84" t="n"/>
      <c r="J134" s="84" t="n"/>
      <c r="K134" s="84" t="n"/>
      <c r="L134" s="13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</row>
    <row r="135">
      <c r="A135" s="84" t="n"/>
      <c r="B135" s="129" t="n"/>
      <c r="C135" s="84" t="n"/>
      <c r="D135" s="84" t="n"/>
      <c r="E135" s="130" t="n"/>
      <c r="F135" s="84" t="n"/>
      <c r="G135" s="84" t="n"/>
      <c r="H135" s="84" t="n"/>
      <c r="I135" s="84" t="n"/>
      <c r="J135" s="84" t="n"/>
      <c r="K135" s="84" t="n"/>
      <c r="L135" s="13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</row>
    <row r="136">
      <c r="A136" s="84" t="n"/>
      <c r="B136" s="129" t="n"/>
      <c r="C136" s="84" t="n"/>
      <c r="D136" s="84" t="n"/>
      <c r="E136" s="130" t="n"/>
      <c r="F136" s="84" t="n"/>
      <c r="G136" s="84" t="n"/>
      <c r="H136" s="84" t="n"/>
      <c r="I136" s="84" t="n"/>
      <c r="J136" s="84" t="n"/>
      <c r="K136" s="84" t="n"/>
      <c r="L136" s="13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</row>
    <row r="137">
      <c r="A137" s="84" t="n"/>
      <c r="B137" s="129" t="n"/>
      <c r="C137" s="84" t="n"/>
      <c r="D137" s="84" t="n"/>
      <c r="E137" s="130" t="n"/>
      <c r="F137" s="84" t="n"/>
      <c r="G137" s="84" t="n"/>
      <c r="H137" s="84" t="n"/>
      <c r="I137" s="84" t="n"/>
      <c r="J137" s="84" t="n"/>
      <c r="K137" s="84" t="n"/>
      <c r="L137" s="13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</row>
    <row r="138">
      <c r="A138" s="84" t="n"/>
      <c r="B138" s="129" t="n"/>
      <c r="C138" s="84" t="n"/>
      <c r="D138" s="84" t="n"/>
      <c r="E138" s="130" t="n"/>
      <c r="F138" s="84" t="n"/>
      <c r="G138" s="84" t="n"/>
      <c r="H138" s="84" t="n"/>
      <c r="I138" s="84" t="n"/>
      <c r="J138" s="84" t="n"/>
      <c r="K138" s="84" t="n"/>
      <c r="L138" s="13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</row>
    <row r="139">
      <c r="A139" s="84" t="n"/>
      <c r="B139" s="129" t="n"/>
      <c r="C139" s="84" t="n"/>
      <c r="D139" s="84" t="n"/>
      <c r="E139" s="130" t="n"/>
      <c r="F139" s="84" t="n"/>
      <c r="G139" s="84" t="n"/>
      <c r="H139" s="84" t="n"/>
      <c r="I139" s="84" t="n"/>
      <c r="J139" s="84" t="n"/>
      <c r="K139" s="84" t="n"/>
      <c r="L139" s="13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</row>
    <row r="140">
      <c r="A140" s="84" t="n"/>
      <c r="B140" s="129" t="n"/>
      <c r="C140" s="84" t="n"/>
      <c r="D140" s="84" t="n"/>
      <c r="E140" s="130" t="n"/>
      <c r="F140" s="84" t="n"/>
      <c r="G140" s="84" t="n"/>
      <c r="H140" s="84" t="n"/>
      <c r="I140" s="84" t="n"/>
      <c r="J140" s="84" t="n"/>
      <c r="K140" s="84" t="n"/>
      <c r="L140" s="13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</row>
    <row r="141">
      <c r="A141" s="84" t="n"/>
      <c r="B141" s="129" t="n"/>
      <c r="C141" s="84" t="n"/>
      <c r="D141" s="84" t="n"/>
      <c r="E141" s="130" t="n"/>
      <c r="F141" s="84" t="n"/>
      <c r="G141" s="84" t="n"/>
      <c r="H141" s="84" t="n"/>
      <c r="I141" s="84" t="n"/>
      <c r="J141" s="84" t="n"/>
      <c r="K141" s="84" t="n"/>
      <c r="L141" s="13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</row>
    <row r="142">
      <c r="A142" s="84" t="n"/>
      <c r="B142" s="129" t="n"/>
      <c r="C142" s="84" t="n"/>
      <c r="D142" s="84" t="n"/>
      <c r="E142" s="130" t="n"/>
      <c r="F142" s="84" t="n"/>
      <c r="G142" s="84" t="n"/>
      <c r="H142" s="84" t="n"/>
      <c r="I142" s="84" t="n"/>
      <c r="J142" s="84" t="n"/>
      <c r="K142" s="84" t="n"/>
      <c r="L142" s="13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</row>
    <row r="143">
      <c r="A143" s="84" t="n"/>
      <c r="B143" s="129" t="n"/>
      <c r="C143" s="84" t="n"/>
      <c r="D143" s="84" t="n"/>
      <c r="E143" s="130" t="n"/>
      <c r="F143" s="84" t="n"/>
      <c r="G143" s="84" t="n"/>
      <c r="H143" s="84" t="n"/>
      <c r="I143" s="84" t="n"/>
      <c r="J143" s="84" t="n"/>
      <c r="K143" s="84" t="n"/>
      <c r="L143" s="13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</row>
    <row r="144">
      <c r="A144" s="84" t="n"/>
      <c r="B144" s="129" t="n"/>
      <c r="C144" s="84" t="n"/>
      <c r="D144" s="84" t="n"/>
      <c r="E144" s="130" t="n"/>
      <c r="F144" s="84" t="n"/>
      <c r="G144" s="84" t="n"/>
      <c r="H144" s="84" t="n"/>
      <c r="I144" s="84" t="n"/>
      <c r="J144" s="84" t="n"/>
      <c r="K144" s="84" t="n"/>
      <c r="L144" s="13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</row>
    <row r="145">
      <c r="A145" s="84" t="n"/>
      <c r="B145" s="129" t="n"/>
      <c r="C145" s="84" t="n"/>
      <c r="D145" s="84" t="n"/>
      <c r="E145" s="130" t="n"/>
      <c r="F145" s="84" t="n"/>
      <c r="G145" s="84" t="n"/>
      <c r="H145" s="84" t="n"/>
      <c r="I145" s="84" t="n"/>
      <c r="J145" s="84" t="n"/>
      <c r="K145" s="84" t="n"/>
      <c r="L145" s="13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</row>
    <row r="146">
      <c r="A146" s="84" t="n"/>
      <c r="B146" s="129" t="n"/>
      <c r="C146" s="84" t="n"/>
      <c r="D146" s="84" t="n"/>
      <c r="E146" s="130" t="n"/>
      <c r="F146" s="84" t="n"/>
      <c r="G146" s="84" t="n"/>
      <c r="H146" s="84" t="n"/>
      <c r="I146" s="84" t="n"/>
      <c r="J146" s="84" t="n"/>
      <c r="K146" s="84" t="n"/>
      <c r="L146" s="13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</row>
    <row r="147">
      <c r="A147" s="84" t="n"/>
      <c r="B147" s="129" t="n"/>
      <c r="C147" s="84" t="n"/>
      <c r="D147" s="84" t="n"/>
      <c r="E147" s="130" t="n"/>
      <c r="F147" s="84" t="n"/>
      <c r="G147" s="84" t="n"/>
      <c r="H147" s="84" t="n"/>
      <c r="I147" s="84" t="n"/>
      <c r="J147" s="84" t="n"/>
      <c r="K147" s="84" t="n"/>
      <c r="L147" s="13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</row>
    <row r="148">
      <c r="A148" s="84" t="n"/>
      <c r="B148" s="129" t="n"/>
      <c r="C148" s="84" t="n"/>
      <c r="D148" s="84" t="n"/>
      <c r="E148" s="130" t="n"/>
      <c r="F148" s="84" t="n"/>
      <c r="G148" s="84" t="n"/>
      <c r="H148" s="84" t="n"/>
      <c r="I148" s="84" t="n"/>
      <c r="J148" s="84" t="n"/>
      <c r="K148" s="84" t="n"/>
      <c r="L148" s="13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</row>
    <row r="149">
      <c r="A149" s="84" t="n"/>
      <c r="B149" s="129" t="n"/>
      <c r="C149" s="84" t="n"/>
      <c r="D149" s="84" t="n"/>
      <c r="E149" s="130" t="n"/>
      <c r="F149" s="84" t="n"/>
      <c r="G149" s="84" t="n"/>
      <c r="H149" s="84" t="n"/>
      <c r="I149" s="84" t="n"/>
      <c r="J149" s="84" t="n"/>
      <c r="K149" s="84" t="n"/>
      <c r="L149" s="13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</row>
    <row r="150">
      <c r="A150" s="84" t="n"/>
      <c r="B150" s="129" t="n"/>
      <c r="C150" s="84" t="n"/>
      <c r="D150" s="84" t="n"/>
      <c r="E150" s="130" t="n"/>
      <c r="F150" s="84" t="n"/>
      <c r="G150" s="84" t="n"/>
      <c r="H150" s="84" t="n"/>
      <c r="I150" s="84" t="n"/>
      <c r="J150" s="84" t="n"/>
      <c r="K150" s="84" t="n"/>
      <c r="L150" s="13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</row>
    <row r="151">
      <c r="A151" s="84" t="n"/>
      <c r="B151" s="129" t="n"/>
      <c r="C151" s="84" t="n"/>
      <c r="D151" s="84" t="n"/>
      <c r="E151" s="130" t="n"/>
      <c r="F151" s="84" t="n"/>
      <c r="G151" s="84" t="n"/>
      <c r="H151" s="84" t="n"/>
      <c r="I151" s="84" t="n"/>
      <c r="J151" s="84" t="n"/>
      <c r="K151" s="84" t="n"/>
      <c r="L151" s="13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</row>
    <row r="152">
      <c r="A152" s="84" t="n"/>
      <c r="B152" s="129" t="n"/>
      <c r="C152" s="84" t="n"/>
      <c r="D152" s="84" t="n"/>
      <c r="E152" s="130" t="n"/>
      <c r="F152" s="84" t="n"/>
      <c r="G152" s="84" t="n"/>
      <c r="H152" s="84" t="n"/>
      <c r="I152" s="84" t="n"/>
      <c r="J152" s="84" t="n"/>
      <c r="K152" s="84" t="n"/>
      <c r="L152" s="13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</row>
    <row r="153">
      <c r="A153" s="84" t="n"/>
      <c r="B153" s="129" t="n"/>
      <c r="C153" s="84" t="n"/>
      <c r="D153" s="84" t="n"/>
      <c r="E153" s="130" t="n"/>
      <c r="F153" s="84" t="n"/>
      <c r="G153" s="84" t="n"/>
      <c r="H153" s="84" t="n"/>
      <c r="I153" s="84" t="n"/>
      <c r="J153" s="84" t="n"/>
      <c r="K153" s="84" t="n"/>
      <c r="L153" s="13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</row>
    <row r="154">
      <c r="A154" s="84" t="n"/>
      <c r="B154" s="129" t="n"/>
      <c r="C154" s="84" t="n"/>
      <c r="D154" s="84" t="n"/>
      <c r="E154" s="130" t="n"/>
      <c r="F154" s="84" t="n"/>
      <c r="G154" s="84" t="n"/>
      <c r="H154" s="84" t="n"/>
      <c r="I154" s="84" t="n"/>
      <c r="J154" s="84" t="n"/>
      <c r="K154" s="84" t="n"/>
      <c r="L154" s="13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</row>
    <row r="155">
      <c r="A155" s="84" t="n"/>
      <c r="B155" s="129" t="n"/>
      <c r="C155" s="84" t="n"/>
      <c r="D155" s="84" t="n"/>
      <c r="E155" s="130" t="n"/>
      <c r="F155" s="84" t="n"/>
      <c r="G155" s="84" t="n"/>
      <c r="H155" s="84" t="n"/>
      <c r="I155" s="84" t="n"/>
      <c r="J155" s="84" t="n"/>
      <c r="K155" s="84" t="n"/>
      <c r="L155" s="13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</row>
    <row r="156">
      <c r="A156" s="84" t="n"/>
      <c r="B156" s="129" t="n"/>
      <c r="C156" s="84" t="n"/>
      <c r="D156" s="84" t="n"/>
      <c r="E156" s="130" t="n"/>
      <c r="F156" s="84" t="n"/>
      <c r="G156" s="84" t="n"/>
      <c r="H156" s="84" t="n"/>
      <c r="I156" s="84" t="n"/>
      <c r="J156" s="84" t="n"/>
      <c r="K156" s="84" t="n"/>
      <c r="L156" s="13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</row>
    <row r="157">
      <c r="A157" s="84" t="n"/>
      <c r="B157" s="129" t="n"/>
      <c r="C157" s="84" t="n"/>
      <c r="D157" s="84" t="n"/>
      <c r="E157" s="130" t="n"/>
      <c r="F157" s="84" t="n"/>
      <c r="G157" s="84" t="n"/>
      <c r="H157" s="84" t="n"/>
      <c r="I157" s="84" t="n"/>
      <c r="J157" s="84" t="n"/>
      <c r="K157" s="84" t="n"/>
      <c r="L157" s="13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</row>
    <row r="158">
      <c r="A158" s="84" t="n"/>
      <c r="B158" s="129" t="n"/>
      <c r="C158" s="84" t="n"/>
      <c r="D158" s="84" t="n"/>
      <c r="E158" s="130" t="n"/>
      <c r="F158" s="84" t="n"/>
      <c r="G158" s="84" t="n"/>
      <c r="H158" s="84" t="n"/>
      <c r="I158" s="84" t="n"/>
      <c r="J158" s="84" t="n"/>
      <c r="K158" s="84" t="n"/>
      <c r="L158" s="13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</row>
    <row r="159">
      <c r="A159" s="84" t="n"/>
      <c r="B159" s="129" t="n"/>
      <c r="C159" s="84" t="n"/>
      <c r="D159" s="84" t="n"/>
      <c r="E159" s="130" t="n"/>
      <c r="F159" s="84" t="n"/>
      <c r="G159" s="84" t="n"/>
      <c r="H159" s="84" t="n"/>
      <c r="I159" s="84" t="n"/>
      <c r="J159" s="84" t="n"/>
      <c r="K159" s="84" t="n"/>
      <c r="L159" s="13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</row>
    <row r="160">
      <c r="A160" s="84" t="n"/>
      <c r="B160" s="129" t="n"/>
      <c r="C160" s="84" t="n"/>
      <c r="D160" s="84" t="n"/>
      <c r="E160" s="130" t="n"/>
      <c r="F160" s="84" t="n"/>
      <c r="G160" s="84" t="n"/>
      <c r="H160" s="84" t="n"/>
      <c r="I160" s="84" t="n"/>
      <c r="J160" s="84" t="n"/>
      <c r="K160" s="84" t="n"/>
      <c r="L160" s="13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</row>
    <row r="161">
      <c r="A161" s="84" t="n"/>
      <c r="B161" s="129" t="n"/>
      <c r="C161" s="84" t="n"/>
      <c r="D161" s="84" t="n"/>
      <c r="E161" s="130" t="n"/>
      <c r="F161" s="84" t="n"/>
      <c r="G161" s="84" t="n"/>
      <c r="H161" s="84" t="n"/>
      <c r="I161" s="84" t="n"/>
      <c r="J161" s="84" t="n"/>
      <c r="K161" s="84" t="n"/>
      <c r="L161" s="13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</row>
    <row r="162">
      <c r="A162" s="84" t="n"/>
      <c r="B162" s="129" t="n"/>
      <c r="C162" s="84" t="n"/>
      <c r="D162" s="84" t="n"/>
      <c r="E162" s="130" t="n"/>
      <c r="F162" s="84" t="n"/>
      <c r="G162" s="84" t="n"/>
      <c r="H162" s="84" t="n"/>
      <c r="I162" s="84" t="n"/>
      <c r="J162" s="84" t="n"/>
      <c r="K162" s="84" t="n"/>
      <c r="L162" s="13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</row>
    <row r="163">
      <c r="A163" s="84" t="n"/>
      <c r="B163" s="129" t="n"/>
      <c r="C163" s="84" t="n"/>
      <c r="D163" s="84" t="n"/>
      <c r="E163" s="130" t="n"/>
      <c r="F163" s="84" t="n"/>
      <c r="G163" s="84" t="n"/>
      <c r="H163" s="84" t="n"/>
      <c r="I163" s="84" t="n"/>
      <c r="J163" s="84" t="n"/>
      <c r="K163" s="84" t="n"/>
      <c r="L163" s="13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</row>
    <row r="164">
      <c r="A164" s="84" t="n"/>
      <c r="B164" s="129" t="n"/>
      <c r="C164" s="84" t="n"/>
      <c r="D164" s="84" t="n"/>
      <c r="E164" s="130" t="n"/>
      <c r="F164" s="84" t="n"/>
      <c r="G164" s="84" t="n"/>
      <c r="H164" s="84" t="n"/>
      <c r="I164" s="84" t="n"/>
      <c r="J164" s="84" t="n"/>
      <c r="K164" s="84" t="n"/>
      <c r="L164" s="13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</row>
    <row r="165">
      <c r="A165" s="84" t="n"/>
      <c r="B165" s="129" t="n"/>
      <c r="C165" s="84" t="n"/>
      <c r="D165" s="84" t="n"/>
      <c r="E165" s="130" t="n"/>
      <c r="F165" s="84" t="n"/>
      <c r="G165" s="84" t="n"/>
      <c r="H165" s="84" t="n"/>
      <c r="I165" s="84" t="n"/>
      <c r="J165" s="84" t="n"/>
      <c r="K165" s="84" t="n"/>
      <c r="L165" s="13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</row>
    <row r="166">
      <c r="A166" s="84" t="n"/>
      <c r="B166" s="129" t="n"/>
      <c r="C166" s="84" t="n"/>
      <c r="D166" s="84" t="n"/>
      <c r="E166" s="130" t="n"/>
      <c r="F166" s="84" t="n"/>
      <c r="G166" s="84" t="n"/>
      <c r="H166" s="84" t="n"/>
      <c r="I166" s="84" t="n"/>
      <c r="J166" s="84" t="n"/>
      <c r="K166" s="84" t="n"/>
      <c r="L166" s="13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</row>
    <row r="167">
      <c r="A167" s="84" t="n"/>
      <c r="B167" s="129" t="n"/>
      <c r="C167" s="84" t="n"/>
      <c r="D167" s="84" t="n"/>
      <c r="E167" s="130" t="n"/>
      <c r="F167" s="84" t="n"/>
      <c r="G167" s="84" t="n"/>
      <c r="H167" s="84" t="n"/>
      <c r="I167" s="84" t="n"/>
      <c r="J167" s="84" t="n"/>
      <c r="K167" s="84" t="n"/>
      <c r="L167" s="13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</row>
    <row r="168">
      <c r="A168" s="84" t="n"/>
      <c r="B168" s="129" t="n"/>
      <c r="C168" s="84" t="n"/>
      <c r="D168" s="84" t="n"/>
      <c r="E168" s="130" t="n"/>
      <c r="F168" s="84" t="n"/>
      <c r="G168" s="84" t="n"/>
      <c r="H168" s="84" t="n"/>
      <c r="I168" s="84" t="n"/>
      <c r="J168" s="84" t="n"/>
      <c r="K168" s="84" t="n"/>
      <c r="L168" s="13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</row>
    <row r="169">
      <c r="A169" s="84" t="n"/>
      <c r="B169" s="129" t="n"/>
      <c r="C169" s="84" t="n"/>
      <c r="D169" s="84" t="n"/>
      <c r="E169" s="130" t="n"/>
      <c r="F169" s="84" t="n"/>
      <c r="G169" s="84" t="n"/>
      <c r="H169" s="84" t="n"/>
      <c r="I169" s="84" t="n"/>
      <c r="J169" s="84" t="n"/>
      <c r="K169" s="84" t="n"/>
      <c r="L169" s="13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</row>
    <row r="170">
      <c r="A170" s="84" t="n"/>
      <c r="B170" s="129" t="n"/>
      <c r="C170" s="84" t="n"/>
      <c r="D170" s="84" t="n"/>
      <c r="E170" s="130" t="n"/>
      <c r="F170" s="84" t="n"/>
      <c r="G170" s="84" t="n"/>
      <c r="H170" s="84" t="n"/>
      <c r="I170" s="84" t="n"/>
      <c r="J170" s="84" t="n"/>
      <c r="K170" s="84" t="n"/>
      <c r="L170" s="13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</row>
    <row r="171">
      <c r="A171" s="84" t="n"/>
      <c r="B171" s="129" t="n"/>
      <c r="C171" s="84" t="n"/>
      <c r="D171" s="84" t="n"/>
      <c r="E171" s="130" t="n"/>
      <c r="F171" s="84" t="n"/>
      <c r="G171" s="84" t="n"/>
      <c r="H171" s="84" t="n"/>
      <c r="I171" s="84" t="n"/>
      <c r="J171" s="84" t="n"/>
      <c r="K171" s="84" t="n"/>
      <c r="L171" s="13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</row>
    <row r="172">
      <c r="A172" s="84" t="n"/>
      <c r="B172" s="129" t="n"/>
      <c r="C172" s="84" t="n"/>
      <c r="D172" s="84" t="n"/>
      <c r="E172" s="130" t="n"/>
      <c r="F172" s="84" t="n"/>
      <c r="G172" s="84" t="n"/>
      <c r="H172" s="84" t="n"/>
      <c r="I172" s="84" t="n"/>
      <c r="J172" s="84" t="n"/>
      <c r="K172" s="84" t="n"/>
      <c r="L172" s="13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</row>
    <row r="173">
      <c r="A173" s="84" t="n"/>
      <c r="B173" s="129" t="n"/>
      <c r="C173" s="84" t="n"/>
      <c r="D173" s="84" t="n"/>
      <c r="E173" s="130" t="n"/>
      <c r="F173" s="84" t="n"/>
      <c r="G173" s="84" t="n"/>
      <c r="H173" s="84" t="n"/>
      <c r="I173" s="84" t="n"/>
      <c r="J173" s="84" t="n"/>
      <c r="K173" s="84" t="n"/>
      <c r="L173" s="13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</row>
    <row r="174">
      <c r="A174" s="84" t="n"/>
      <c r="B174" s="129" t="n"/>
      <c r="C174" s="84" t="n"/>
      <c r="D174" s="84" t="n"/>
      <c r="E174" s="130" t="n"/>
      <c r="F174" s="84" t="n"/>
      <c r="G174" s="84" t="n"/>
      <c r="H174" s="84" t="n"/>
      <c r="I174" s="84" t="n"/>
      <c r="J174" s="84" t="n"/>
      <c r="K174" s="84" t="n"/>
      <c r="L174" s="13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</row>
    <row r="175">
      <c r="A175" s="84" t="n"/>
      <c r="B175" s="129" t="n"/>
      <c r="C175" s="84" t="n"/>
      <c r="D175" s="84" t="n"/>
      <c r="E175" s="130" t="n"/>
      <c r="F175" s="84" t="n"/>
      <c r="G175" s="84" t="n"/>
      <c r="H175" s="84" t="n"/>
      <c r="I175" s="84" t="n"/>
      <c r="J175" s="84" t="n"/>
      <c r="K175" s="84" t="n"/>
      <c r="L175" s="13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</row>
    <row r="176">
      <c r="A176" s="84" t="n"/>
      <c r="B176" s="129" t="n"/>
      <c r="C176" s="84" t="n"/>
      <c r="D176" s="84" t="n"/>
      <c r="E176" s="130" t="n"/>
      <c r="F176" s="84" t="n"/>
      <c r="G176" s="84" t="n"/>
      <c r="H176" s="84" t="n"/>
      <c r="I176" s="84" t="n"/>
      <c r="J176" s="84" t="n"/>
      <c r="K176" s="84" t="n"/>
      <c r="L176" s="13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</row>
    <row r="177">
      <c r="A177" s="84" t="n"/>
      <c r="B177" s="129" t="n"/>
      <c r="C177" s="84" t="n"/>
      <c r="D177" s="84" t="n"/>
      <c r="E177" s="130" t="n"/>
      <c r="F177" s="84" t="n"/>
      <c r="G177" s="84" t="n"/>
      <c r="H177" s="84" t="n"/>
      <c r="I177" s="84" t="n"/>
      <c r="J177" s="84" t="n"/>
      <c r="K177" s="84" t="n"/>
      <c r="L177" s="13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</row>
    <row r="178">
      <c r="A178" s="84" t="n"/>
      <c r="B178" s="129" t="n"/>
      <c r="C178" s="84" t="n"/>
      <c r="D178" s="84" t="n"/>
      <c r="E178" s="130" t="n"/>
      <c r="F178" s="84" t="n"/>
      <c r="G178" s="84" t="n"/>
      <c r="H178" s="84" t="n"/>
      <c r="I178" s="84" t="n"/>
      <c r="J178" s="84" t="n"/>
      <c r="K178" s="84" t="n"/>
      <c r="L178" s="13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</row>
    <row r="179">
      <c r="A179" s="84" t="n"/>
      <c r="B179" s="129" t="n"/>
      <c r="C179" s="84" t="n"/>
      <c r="D179" s="84" t="n"/>
      <c r="E179" s="130" t="n"/>
      <c r="F179" s="84" t="n"/>
      <c r="G179" s="84" t="n"/>
      <c r="H179" s="84" t="n"/>
      <c r="I179" s="84" t="n"/>
      <c r="J179" s="84" t="n"/>
      <c r="K179" s="84" t="n"/>
      <c r="L179" s="13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</row>
    <row r="180">
      <c r="A180" s="84" t="n"/>
      <c r="B180" s="129" t="n"/>
      <c r="C180" s="84" t="n"/>
      <c r="D180" s="84" t="n"/>
      <c r="E180" s="130" t="n"/>
      <c r="F180" s="84" t="n"/>
      <c r="G180" s="84" t="n"/>
      <c r="H180" s="84" t="n"/>
      <c r="I180" s="84" t="n"/>
      <c r="J180" s="84" t="n"/>
      <c r="K180" s="84" t="n"/>
      <c r="L180" s="13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</row>
    <row r="181">
      <c r="A181" s="84" t="n"/>
      <c r="B181" s="129" t="n"/>
      <c r="C181" s="84" t="n"/>
      <c r="D181" s="84" t="n"/>
      <c r="E181" s="130" t="n"/>
      <c r="F181" s="84" t="n"/>
      <c r="G181" s="84" t="n"/>
      <c r="H181" s="84" t="n"/>
      <c r="I181" s="84" t="n"/>
      <c r="J181" s="84" t="n"/>
      <c r="K181" s="84" t="n"/>
      <c r="L181" s="13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</row>
    <row r="182">
      <c r="A182" s="84" t="n"/>
      <c r="B182" s="129" t="n"/>
      <c r="C182" s="84" t="n"/>
      <c r="D182" s="84" t="n"/>
      <c r="E182" s="130" t="n"/>
      <c r="F182" s="84" t="n"/>
      <c r="G182" s="84" t="n"/>
      <c r="H182" s="84" t="n"/>
      <c r="I182" s="84" t="n"/>
      <c r="J182" s="84" t="n"/>
      <c r="K182" s="84" t="n"/>
      <c r="L182" s="13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</row>
    <row r="183">
      <c r="A183" s="84" t="n"/>
      <c r="B183" s="129" t="n"/>
      <c r="C183" s="84" t="n"/>
      <c r="D183" s="84" t="n"/>
      <c r="E183" s="130" t="n"/>
      <c r="F183" s="84" t="n"/>
      <c r="G183" s="84" t="n"/>
      <c r="H183" s="84" t="n"/>
      <c r="I183" s="84" t="n"/>
      <c r="J183" s="84" t="n"/>
      <c r="K183" s="84" t="n"/>
      <c r="L183" s="13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</row>
    <row r="184">
      <c r="A184" s="84" t="n"/>
      <c r="B184" s="129" t="n"/>
      <c r="C184" s="84" t="n"/>
      <c r="D184" s="84" t="n"/>
      <c r="E184" s="130" t="n"/>
      <c r="F184" s="84" t="n"/>
      <c r="G184" s="84" t="n"/>
      <c r="H184" s="84" t="n"/>
      <c r="I184" s="84" t="n"/>
      <c r="J184" s="84" t="n"/>
      <c r="K184" s="84" t="n"/>
      <c r="L184" s="13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</row>
    <row r="185">
      <c r="A185" s="84" t="n"/>
      <c r="B185" s="129" t="n"/>
      <c r="C185" s="84" t="n"/>
      <c r="D185" s="84" t="n"/>
      <c r="E185" s="130" t="n"/>
      <c r="F185" s="84" t="n"/>
      <c r="G185" s="84" t="n"/>
      <c r="H185" s="84" t="n"/>
      <c r="I185" s="84" t="n"/>
      <c r="J185" s="84" t="n"/>
      <c r="K185" s="84" t="n"/>
      <c r="L185" s="13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</row>
    <row r="186">
      <c r="A186" s="84" t="n"/>
      <c r="B186" s="129" t="n"/>
      <c r="C186" s="84" t="n"/>
      <c r="D186" s="84" t="n"/>
      <c r="E186" s="130" t="n"/>
      <c r="F186" s="84" t="n"/>
      <c r="G186" s="84" t="n"/>
      <c r="H186" s="84" t="n"/>
      <c r="I186" s="84" t="n"/>
      <c r="J186" s="84" t="n"/>
      <c r="K186" s="84" t="n"/>
      <c r="L186" s="13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</row>
    <row r="187">
      <c r="A187" s="84" t="n"/>
      <c r="B187" s="129" t="n"/>
      <c r="C187" s="84" t="n"/>
      <c r="D187" s="84" t="n"/>
      <c r="E187" s="130" t="n"/>
      <c r="F187" s="84" t="n"/>
      <c r="G187" s="84" t="n"/>
      <c r="H187" s="84" t="n"/>
      <c r="I187" s="84" t="n"/>
      <c r="J187" s="84" t="n"/>
      <c r="K187" s="84" t="n"/>
      <c r="L187" s="13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</row>
    <row r="188">
      <c r="A188" s="84" t="n"/>
      <c r="B188" s="129" t="n"/>
      <c r="C188" s="84" t="n"/>
      <c r="D188" s="84" t="n"/>
      <c r="E188" s="130" t="n"/>
      <c r="F188" s="84" t="n"/>
      <c r="G188" s="84" t="n"/>
      <c r="H188" s="84" t="n"/>
      <c r="I188" s="84" t="n"/>
      <c r="J188" s="84" t="n"/>
      <c r="K188" s="84" t="n"/>
      <c r="L188" s="13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</row>
    <row r="189">
      <c r="A189" s="84" t="n"/>
      <c r="B189" s="129" t="n"/>
      <c r="C189" s="84" t="n"/>
      <c r="D189" s="84" t="n"/>
      <c r="E189" s="130" t="n"/>
      <c r="F189" s="84" t="n"/>
      <c r="G189" s="84" t="n"/>
      <c r="H189" s="84" t="n"/>
      <c r="I189" s="84" t="n"/>
      <c r="J189" s="84" t="n"/>
      <c r="K189" s="84" t="n"/>
      <c r="L189" s="13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</row>
    <row r="190">
      <c r="A190" s="84" t="n"/>
      <c r="B190" s="129" t="n"/>
      <c r="C190" s="84" t="n"/>
      <c r="D190" s="84" t="n"/>
      <c r="E190" s="130" t="n"/>
      <c r="F190" s="84" t="n"/>
      <c r="G190" s="84" t="n"/>
      <c r="H190" s="84" t="n"/>
      <c r="I190" s="84" t="n"/>
      <c r="J190" s="84" t="n"/>
      <c r="K190" s="84" t="n"/>
      <c r="L190" s="13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</row>
    <row r="191">
      <c r="A191" s="84" t="n"/>
      <c r="B191" s="129" t="n"/>
      <c r="C191" s="84" t="n"/>
      <c r="D191" s="84" t="n"/>
      <c r="E191" s="130" t="n"/>
      <c r="F191" s="84" t="n"/>
      <c r="G191" s="84" t="n"/>
      <c r="H191" s="84" t="n"/>
      <c r="I191" s="84" t="n"/>
      <c r="J191" s="84" t="n"/>
      <c r="K191" s="84" t="n"/>
      <c r="L191" s="13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</row>
    <row r="192">
      <c r="A192" s="84" t="n"/>
      <c r="B192" s="129" t="n"/>
      <c r="C192" s="84" t="n"/>
      <c r="D192" s="84" t="n"/>
      <c r="E192" s="130" t="n"/>
      <c r="F192" s="84" t="n"/>
      <c r="G192" s="84" t="n"/>
      <c r="H192" s="84" t="n"/>
      <c r="I192" s="84" t="n"/>
      <c r="J192" s="84" t="n"/>
      <c r="K192" s="84" t="n"/>
      <c r="L192" s="13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</row>
    <row r="193">
      <c r="A193" s="84" t="n"/>
      <c r="B193" s="129" t="n"/>
      <c r="C193" s="84" t="n"/>
      <c r="D193" s="84" t="n"/>
      <c r="E193" s="130" t="n"/>
      <c r="F193" s="84" t="n"/>
      <c r="G193" s="84" t="n"/>
      <c r="H193" s="84" t="n"/>
      <c r="I193" s="84" t="n"/>
      <c r="J193" s="84" t="n"/>
      <c r="K193" s="84" t="n"/>
      <c r="L193" s="13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</row>
    <row r="194">
      <c r="A194" s="84" t="n"/>
      <c r="B194" s="129" t="n"/>
      <c r="C194" s="84" t="n"/>
      <c r="D194" s="84" t="n"/>
      <c r="E194" s="130" t="n"/>
      <c r="F194" s="84" t="n"/>
      <c r="G194" s="84" t="n"/>
      <c r="H194" s="84" t="n"/>
      <c r="I194" s="84" t="n"/>
      <c r="J194" s="84" t="n"/>
      <c r="K194" s="84" t="n"/>
      <c r="L194" s="13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</row>
    <row r="195">
      <c r="A195" s="84" t="n"/>
      <c r="B195" s="129" t="n"/>
      <c r="C195" s="84" t="n"/>
      <c r="D195" s="84" t="n"/>
      <c r="E195" s="130" t="n"/>
      <c r="F195" s="84" t="n"/>
      <c r="G195" s="84" t="n"/>
      <c r="H195" s="84" t="n"/>
      <c r="I195" s="84" t="n"/>
      <c r="J195" s="84" t="n"/>
      <c r="K195" s="84" t="n"/>
      <c r="L195" s="13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</row>
    <row r="196">
      <c r="A196" s="84" t="n"/>
      <c r="B196" s="129" t="n"/>
      <c r="C196" s="84" t="n"/>
      <c r="D196" s="84" t="n"/>
      <c r="E196" s="130" t="n"/>
      <c r="F196" s="84" t="n"/>
      <c r="G196" s="84" t="n"/>
      <c r="H196" s="84" t="n"/>
      <c r="I196" s="84" t="n"/>
      <c r="J196" s="84" t="n"/>
      <c r="K196" s="84" t="n"/>
      <c r="L196" s="13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</row>
    <row r="197">
      <c r="A197" s="84" t="n"/>
      <c r="B197" s="129" t="n"/>
      <c r="C197" s="84" t="n"/>
      <c r="D197" s="84" t="n"/>
      <c r="E197" s="130" t="n"/>
      <c r="F197" s="84" t="n"/>
      <c r="G197" s="84" t="n"/>
      <c r="H197" s="84" t="n"/>
      <c r="I197" s="84" t="n"/>
      <c r="J197" s="84" t="n"/>
      <c r="K197" s="84" t="n"/>
      <c r="L197" s="13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</row>
    <row r="198">
      <c r="A198" s="84" t="n"/>
      <c r="B198" s="129" t="n"/>
      <c r="C198" s="84" t="n"/>
      <c r="D198" s="84" t="n"/>
      <c r="E198" s="130" t="n"/>
      <c r="F198" s="84" t="n"/>
      <c r="G198" s="84" t="n"/>
      <c r="H198" s="84" t="n"/>
      <c r="I198" s="84" t="n"/>
      <c r="J198" s="84" t="n"/>
      <c r="K198" s="84" t="n"/>
      <c r="L198" s="13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</row>
    <row r="199">
      <c r="A199" s="84" t="n"/>
      <c r="B199" s="129" t="n"/>
      <c r="C199" s="84" t="n"/>
      <c r="D199" s="84" t="n"/>
      <c r="E199" s="130" t="n"/>
      <c r="F199" s="84" t="n"/>
      <c r="G199" s="84" t="n"/>
      <c r="H199" s="84" t="n"/>
      <c r="I199" s="84" t="n"/>
      <c r="J199" s="84" t="n"/>
      <c r="K199" s="84" t="n"/>
      <c r="L199" s="13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</row>
    <row r="200">
      <c r="A200" s="84" t="n"/>
      <c r="B200" s="129" t="n"/>
      <c r="C200" s="84" t="n"/>
      <c r="D200" s="84" t="n"/>
      <c r="E200" s="130" t="n"/>
      <c r="F200" s="84" t="n"/>
      <c r="G200" s="84" t="n"/>
      <c r="H200" s="84" t="n"/>
      <c r="I200" s="84" t="n"/>
      <c r="J200" s="84" t="n"/>
      <c r="K200" s="84" t="n"/>
      <c r="L200" s="13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</row>
    <row r="201">
      <c r="B201" s="133" t="n"/>
      <c r="E201" s="127" t="n"/>
      <c r="L201" s="128" t="n"/>
    </row>
    <row r="202">
      <c r="B202" s="133" t="n"/>
      <c r="E202" s="127" t="n"/>
      <c r="L202" s="128" t="n"/>
    </row>
    <row r="203">
      <c r="B203" s="133" t="n"/>
      <c r="E203" s="127" t="n"/>
      <c r="L203" s="128" t="n"/>
    </row>
    <row r="204">
      <c r="B204" s="133" t="n"/>
      <c r="E204" s="127" t="n"/>
      <c r="L204" s="128" t="n"/>
    </row>
    <row r="205">
      <c r="B205" s="133" t="n"/>
      <c r="E205" s="127" t="n"/>
      <c r="L205" s="128" t="n"/>
    </row>
    <row r="206">
      <c r="B206" s="133" t="n"/>
      <c r="E206" s="127" t="n"/>
      <c r="L206" s="128" t="n"/>
    </row>
    <row r="207">
      <c r="B207" s="133" t="n"/>
      <c r="E207" s="127" t="n"/>
      <c r="L207" s="128" t="n"/>
    </row>
    <row r="208">
      <c r="B208" s="133" t="n"/>
      <c r="E208" s="127" t="n"/>
      <c r="L208" s="128" t="n"/>
    </row>
    <row r="209">
      <c r="B209" s="133" t="n"/>
      <c r="E209" s="127" t="n"/>
      <c r="L209" s="128" t="n"/>
    </row>
    <row r="210">
      <c r="B210" s="133" t="n"/>
      <c r="E210" s="127" t="n"/>
      <c r="L210" s="128" t="n"/>
    </row>
    <row r="211">
      <c r="B211" s="133" t="n"/>
      <c r="E211" s="127" t="n"/>
      <c r="L211" s="128" t="n"/>
    </row>
    <row r="212">
      <c r="B212" s="133" t="n"/>
      <c r="E212" s="127" t="n"/>
      <c r="L212" s="128" t="n"/>
    </row>
    <row r="213">
      <c r="B213" s="133" t="n"/>
      <c r="E213" s="127" t="n"/>
      <c r="L213" s="128" t="n"/>
    </row>
    <row r="214">
      <c r="B214" s="133" t="n"/>
      <c r="E214" s="127" t="n"/>
      <c r="L214" s="128" t="n"/>
    </row>
    <row r="215">
      <c r="B215" s="133" t="n"/>
      <c r="E215" s="127" t="n"/>
      <c r="L215" s="128" t="n"/>
    </row>
    <row r="216">
      <c r="B216" s="133" t="n"/>
      <c r="E216" s="127" t="n"/>
      <c r="L216" s="128" t="n"/>
    </row>
    <row r="217">
      <c r="B217" s="133" t="n"/>
      <c r="E217" s="127" t="n"/>
      <c r="L217" s="128" t="n"/>
    </row>
    <row r="218">
      <c r="B218" s="133" t="n"/>
      <c r="E218" s="127" t="n"/>
      <c r="L218" s="128" t="n"/>
    </row>
    <row r="219">
      <c r="B219" s="133" t="n"/>
      <c r="E219" s="127" t="n"/>
      <c r="L219" s="128" t="n"/>
    </row>
    <row r="220">
      <c r="B220" s="133" t="n"/>
      <c r="E220" s="127" t="n"/>
      <c r="L220" s="128" t="n"/>
    </row>
    <row r="221">
      <c r="B221" s="133" t="n"/>
      <c r="E221" s="127" t="n"/>
      <c r="L221" s="128" t="n"/>
    </row>
    <row r="222">
      <c r="B222" s="133" t="n"/>
      <c r="E222" s="127" t="n"/>
      <c r="L222" s="128" t="n"/>
    </row>
    <row r="223">
      <c r="B223" s="133" t="n"/>
      <c r="E223" s="127" t="n"/>
      <c r="L223" s="128" t="n"/>
    </row>
    <row r="224">
      <c r="B224" s="133" t="n"/>
      <c r="E224" s="127" t="n"/>
      <c r="L224" s="128" t="n"/>
    </row>
    <row r="225">
      <c r="B225" s="133" t="n"/>
      <c r="E225" s="127" t="n"/>
      <c r="L225" s="128" t="n"/>
    </row>
    <row r="226">
      <c r="B226" s="133" t="n"/>
      <c r="E226" s="127" t="n"/>
      <c r="L226" s="128" t="n"/>
    </row>
    <row r="227">
      <c r="B227" s="133" t="n"/>
      <c r="E227" s="127" t="n"/>
      <c r="L227" s="128" t="n"/>
    </row>
    <row r="228">
      <c r="B228" s="133" t="n"/>
      <c r="E228" s="127" t="n"/>
      <c r="L228" s="128" t="n"/>
    </row>
    <row r="229">
      <c r="B229" s="133" t="n"/>
      <c r="E229" s="127" t="n"/>
      <c r="L229" s="128" t="n"/>
    </row>
    <row r="230">
      <c r="B230" s="133" t="n"/>
      <c r="E230" s="127" t="n"/>
      <c r="L230" s="128" t="n"/>
    </row>
    <row r="231">
      <c r="B231" s="133" t="n"/>
      <c r="E231" s="127" t="n"/>
      <c r="L231" s="128" t="n"/>
    </row>
    <row r="232">
      <c r="B232" s="133" t="n"/>
      <c r="E232" s="127" t="n"/>
      <c r="L232" s="128" t="n"/>
    </row>
    <row r="233">
      <c r="B233" s="133" t="n"/>
      <c r="E233" s="127" t="n"/>
      <c r="L233" s="128" t="n"/>
    </row>
    <row r="234">
      <c r="B234" s="133" t="n"/>
      <c r="E234" s="127" t="n"/>
      <c r="L234" s="128" t="n"/>
    </row>
    <row r="235">
      <c r="B235" s="133" t="n"/>
      <c r="E235" s="127" t="n"/>
      <c r="L235" s="128" t="n"/>
    </row>
    <row r="236">
      <c r="B236" s="133" t="n"/>
      <c r="E236" s="127" t="n"/>
      <c r="L236" s="128" t="n"/>
    </row>
    <row r="237">
      <c r="B237" s="133" t="n"/>
      <c r="E237" s="127" t="n"/>
      <c r="L237" s="128" t="n"/>
    </row>
    <row r="238">
      <c r="B238" s="133" t="n"/>
      <c r="E238" s="127" t="n"/>
      <c r="L238" s="128" t="n"/>
    </row>
    <row r="239">
      <c r="B239" s="133" t="n"/>
      <c r="E239" s="127" t="n"/>
      <c r="L239" s="128" t="n"/>
    </row>
    <row r="240">
      <c r="B240" s="133" t="n"/>
      <c r="E240" s="127" t="n"/>
      <c r="L240" s="128" t="n"/>
    </row>
    <row r="241">
      <c r="B241" s="133" t="n"/>
      <c r="E241" s="127" t="n"/>
      <c r="L241" s="128" t="n"/>
    </row>
    <row r="242">
      <c r="B242" s="133" t="n"/>
      <c r="E242" s="127" t="n"/>
      <c r="L242" s="128" t="n"/>
    </row>
    <row r="243">
      <c r="B243" s="133" t="n"/>
      <c r="E243" s="127" t="n"/>
      <c r="L243" s="128" t="n"/>
    </row>
    <row r="244">
      <c r="B244" s="133" t="n"/>
      <c r="E244" s="127" t="n"/>
      <c r="L244" s="128" t="n"/>
    </row>
    <row r="245">
      <c r="B245" s="133" t="n"/>
      <c r="E245" s="127" t="n"/>
      <c r="L245" s="128" t="n"/>
    </row>
    <row r="246">
      <c r="B246" s="133" t="n"/>
      <c r="E246" s="127" t="n"/>
      <c r="L246" s="128" t="n"/>
    </row>
    <row r="247">
      <c r="B247" s="133" t="n"/>
      <c r="E247" s="127" t="n"/>
      <c r="L247" s="128" t="n"/>
    </row>
    <row r="248">
      <c r="B248" s="133" t="n"/>
      <c r="E248" s="127" t="n"/>
      <c r="L248" s="128" t="n"/>
    </row>
    <row r="249">
      <c r="B249" s="133" t="n"/>
      <c r="E249" s="127" t="n"/>
      <c r="L249" s="128" t="n"/>
    </row>
    <row r="250">
      <c r="B250" s="133" t="n"/>
      <c r="E250" s="127" t="n"/>
      <c r="L250" s="128" t="n"/>
    </row>
    <row r="251">
      <c r="B251" s="133" t="n"/>
      <c r="E251" s="127" t="n"/>
      <c r="L251" s="128" t="n"/>
    </row>
    <row r="252">
      <c r="B252" s="133" t="n"/>
      <c r="E252" s="127" t="n"/>
      <c r="L252" s="128" t="n"/>
    </row>
    <row r="253">
      <c r="B253" s="133" t="n"/>
      <c r="E253" s="127" t="n"/>
      <c r="L253" s="128" t="n"/>
    </row>
    <row r="254">
      <c r="B254" s="133" t="n"/>
      <c r="E254" s="127" t="n"/>
      <c r="L254" s="128" t="n"/>
    </row>
    <row r="255">
      <c r="B255" s="133" t="n"/>
      <c r="E255" s="127" t="n"/>
      <c r="L255" s="128" t="n"/>
    </row>
    <row r="256">
      <c r="B256" s="133" t="n"/>
      <c r="E256" s="127" t="n"/>
      <c r="L256" s="128" t="n"/>
    </row>
    <row r="257">
      <c r="B257" s="133" t="n"/>
      <c r="E257" s="127" t="n"/>
      <c r="L257" s="128" t="n"/>
    </row>
    <row r="258">
      <c r="B258" s="133" t="n"/>
      <c r="E258" s="127" t="n"/>
      <c r="L258" s="128" t="n"/>
    </row>
    <row r="259">
      <c r="B259" s="133" t="n"/>
      <c r="E259" s="127" t="n"/>
      <c r="L259" s="128" t="n"/>
    </row>
    <row r="260">
      <c r="B260" s="133" t="n"/>
      <c r="E260" s="127" t="n"/>
      <c r="L260" s="128" t="n"/>
    </row>
    <row r="261">
      <c r="B261" s="133" t="n"/>
      <c r="E261" s="127" t="n"/>
      <c r="L261" s="128" t="n"/>
    </row>
    <row r="262">
      <c r="B262" s="133" t="n"/>
      <c r="E262" s="127" t="n"/>
      <c r="L262" s="128" t="n"/>
    </row>
    <row r="263">
      <c r="B263" s="133" t="n"/>
      <c r="E263" s="127" t="n"/>
      <c r="L263" s="128" t="n"/>
    </row>
    <row r="264">
      <c r="B264" s="133" t="n"/>
      <c r="E264" s="127" t="n"/>
      <c r="L264" s="128" t="n"/>
    </row>
    <row r="265">
      <c r="B265" s="133" t="n"/>
      <c r="E265" s="127" t="n"/>
      <c r="L265" s="128" t="n"/>
    </row>
    <row r="266">
      <c r="B266" s="133" t="n"/>
      <c r="E266" s="127" t="n"/>
      <c r="L266" s="128" t="n"/>
    </row>
    <row r="267">
      <c r="B267" s="133" t="n"/>
      <c r="E267" s="127" t="n"/>
      <c r="L267" s="128" t="n"/>
    </row>
    <row r="268">
      <c r="B268" s="133" t="n"/>
      <c r="E268" s="127" t="n"/>
      <c r="L268" s="128" t="n"/>
    </row>
    <row r="269">
      <c r="B269" s="133" t="n"/>
      <c r="E269" s="127" t="n"/>
      <c r="L269" s="128" t="n"/>
    </row>
    <row r="270">
      <c r="B270" s="133" t="n"/>
      <c r="E270" s="127" t="n"/>
      <c r="L270" s="128" t="n"/>
    </row>
    <row r="271">
      <c r="B271" s="133" t="n"/>
      <c r="E271" s="127" t="n"/>
      <c r="L271" s="128" t="n"/>
    </row>
    <row r="272">
      <c r="B272" s="133" t="n"/>
      <c r="E272" s="127" t="n"/>
      <c r="L272" s="128" t="n"/>
    </row>
    <row r="273">
      <c r="B273" s="133" t="n"/>
      <c r="E273" s="127" t="n"/>
      <c r="L273" s="128" t="n"/>
    </row>
    <row r="274">
      <c r="B274" s="133" t="n"/>
      <c r="E274" s="127" t="n"/>
      <c r="L274" s="128" t="n"/>
    </row>
    <row r="275">
      <c r="B275" s="133" t="n"/>
      <c r="E275" s="127" t="n"/>
      <c r="L275" s="128" t="n"/>
    </row>
    <row r="276">
      <c r="B276" s="133" t="n"/>
      <c r="E276" s="127" t="n"/>
      <c r="L276" s="128" t="n"/>
    </row>
    <row r="277">
      <c r="B277" s="133" t="n"/>
      <c r="E277" s="127" t="n"/>
      <c r="L277" s="128" t="n"/>
    </row>
    <row r="278">
      <c r="B278" s="133" t="n"/>
      <c r="E278" s="127" t="n"/>
      <c r="L278" s="128" t="n"/>
    </row>
    <row r="279">
      <c r="B279" s="133" t="n"/>
      <c r="E279" s="127" t="n"/>
      <c r="L279" s="128" t="n"/>
    </row>
    <row r="280">
      <c r="B280" s="133" t="n"/>
      <c r="E280" s="127" t="n"/>
      <c r="L280" s="128" t="n"/>
    </row>
    <row r="281">
      <c r="B281" s="133" t="n"/>
      <c r="E281" s="127" t="n"/>
      <c r="L281" s="128" t="n"/>
    </row>
    <row r="282">
      <c r="B282" s="133" t="n"/>
      <c r="E282" s="127" t="n"/>
      <c r="L282" s="128" t="n"/>
    </row>
    <row r="283">
      <c r="B283" s="133" t="n"/>
      <c r="E283" s="127" t="n"/>
      <c r="L283" s="128" t="n"/>
    </row>
    <row r="284">
      <c r="B284" s="133" t="n"/>
      <c r="E284" s="127" t="n"/>
      <c r="L284" s="128" t="n"/>
    </row>
    <row r="285">
      <c r="B285" s="133" t="n"/>
      <c r="E285" s="127" t="n"/>
      <c r="L285" s="128" t="n"/>
    </row>
    <row r="286">
      <c r="B286" s="133" t="n"/>
      <c r="E286" s="127" t="n"/>
      <c r="L286" s="128" t="n"/>
    </row>
    <row r="287">
      <c r="B287" s="133" t="n"/>
      <c r="E287" s="127" t="n"/>
      <c r="L287" s="128" t="n"/>
    </row>
    <row r="288">
      <c r="B288" s="133" t="n"/>
      <c r="E288" s="127" t="n"/>
      <c r="L288" s="128" t="n"/>
    </row>
    <row r="289">
      <c r="B289" s="133" t="n"/>
      <c r="E289" s="127" t="n"/>
      <c r="L289" s="128" t="n"/>
    </row>
    <row r="290">
      <c r="B290" s="133" t="n"/>
      <c r="E290" s="127" t="n"/>
      <c r="L290" s="128" t="n"/>
    </row>
    <row r="291">
      <c r="B291" s="133" t="n"/>
      <c r="E291" s="127" t="n"/>
      <c r="L291" s="128" t="n"/>
    </row>
    <row r="292">
      <c r="B292" s="133" t="n"/>
      <c r="E292" s="127" t="n"/>
      <c r="L292" s="128" t="n"/>
    </row>
    <row r="293">
      <c r="B293" s="133" t="n"/>
      <c r="E293" s="127" t="n"/>
      <c r="L293" s="128" t="n"/>
    </row>
    <row r="294">
      <c r="B294" s="133" t="n"/>
      <c r="E294" s="127" t="n"/>
      <c r="L294" s="128" t="n"/>
    </row>
    <row r="295">
      <c r="B295" s="133" t="n"/>
      <c r="E295" s="127" t="n"/>
      <c r="L295" s="128" t="n"/>
    </row>
    <row r="296">
      <c r="B296" s="133" t="n"/>
      <c r="E296" s="127" t="n"/>
      <c r="L296" s="128" t="n"/>
    </row>
    <row r="297">
      <c r="B297" s="133" t="n"/>
      <c r="E297" s="127" t="n"/>
      <c r="L297" s="128" t="n"/>
    </row>
    <row r="298">
      <c r="B298" s="133" t="n"/>
      <c r="E298" s="127" t="n"/>
      <c r="L298" s="128" t="n"/>
    </row>
    <row r="299">
      <c r="B299" s="133" t="n"/>
      <c r="E299" s="127" t="n"/>
      <c r="L299" s="128" t="n"/>
    </row>
    <row r="300">
      <c r="B300" s="133" t="n"/>
      <c r="E300" s="127" t="n"/>
      <c r="L300" s="128" t="n"/>
    </row>
    <row r="301">
      <c r="B301" s="133" t="n"/>
      <c r="E301" s="127" t="n"/>
      <c r="L301" s="128" t="n"/>
    </row>
    <row r="302">
      <c r="B302" s="133" t="n"/>
      <c r="E302" s="127" t="n"/>
      <c r="L302" s="128" t="n"/>
    </row>
    <row r="303">
      <c r="B303" s="133" t="n"/>
      <c r="E303" s="127" t="n"/>
      <c r="L303" s="128" t="n"/>
    </row>
    <row r="304">
      <c r="B304" s="133" t="n"/>
      <c r="E304" s="127" t="n"/>
      <c r="L304" s="128" t="n"/>
    </row>
    <row r="305">
      <c r="B305" s="133" t="n"/>
      <c r="E305" s="127" t="n"/>
      <c r="L305" s="128" t="n"/>
    </row>
    <row r="306">
      <c r="B306" s="133" t="n"/>
      <c r="E306" s="127" t="n"/>
      <c r="L306" s="128" t="n"/>
    </row>
    <row r="307">
      <c r="B307" s="133" t="n"/>
      <c r="E307" s="127" t="n"/>
      <c r="L307" s="128" t="n"/>
    </row>
    <row r="308">
      <c r="B308" s="133" t="n"/>
      <c r="E308" s="127" t="n"/>
      <c r="L308" s="128" t="n"/>
    </row>
    <row r="309">
      <c r="B309" s="133" t="n"/>
      <c r="E309" s="127" t="n"/>
      <c r="L309" s="128" t="n"/>
    </row>
    <row r="310">
      <c r="B310" s="133" t="n"/>
      <c r="E310" s="127" t="n"/>
      <c r="L310" s="128" t="n"/>
    </row>
    <row r="311">
      <c r="B311" s="133" t="n"/>
      <c r="E311" s="127" t="n"/>
      <c r="L311" s="128" t="n"/>
    </row>
    <row r="312">
      <c r="B312" s="133" t="n"/>
      <c r="E312" s="127" t="n"/>
      <c r="L312" s="128" t="n"/>
    </row>
    <row r="313">
      <c r="B313" s="133" t="n"/>
      <c r="E313" s="127" t="n"/>
      <c r="L313" s="128" t="n"/>
    </row>
    <row r="314">
      <c r="B314" s="133" t="n"/>
      <c r="E314" s="127" t="n"/>
      <c r="L314" s="128" t="n"/>
    </row>
    <row r="315">
      <c r="B315" s="133" t="n"/>
      <c r="E315" s="127" t="n"/>
      <c r="L315" s="128" t="n"/>
    </row>
    <row r="316">
      <c r="B316" s="133" t="n"/>
      <c r="E316" s="127" t="n"/>
      <c r="L316" s="128" t="n"/>
    </row>
    <row r="317">
      <c r="B317" s="133" t="n"/>
      <c r="E317" s="127" t="n"/>
      <c r="L317" s="128" t="n"/>
    </row>
    <row r="318">
      <c r="B318" s="133" t="n"/>
      <c r="E318" s="127" t="n"/>
      <c r="L318" s="128" t="n"/>
    </row>
    <row r="319">
      <c r="B319" s="133" t="n"/>
      <c r="E319" s="127" t="n"/>
      <c r="L319" s="128" t="n"/>
    </row>
    <row r="320">
      <c r="B320" s="133" t="n"/>
      <c r="E320" s="127" t="n"/>
      <c r="L320" s="128" t="n"/>
    </row>
    <row r="321">
      <c r="B321" s="133" t="n"/>
      <c r="E321" s="127" t="n"/>
      <c r="L321" s="128" t="n"/>
    </row>
    <row r="322">
      <c r="B322" s="133" t="n"/>
      <c r="E322" s="127" t="n"/>
      <c r="L322" s="128" t="n"/>
    </row>
    <row r="323">
      <c r="B323" s="133" t="n"/>
      <c r="E323" s="127" t="n"/>
      <c r="L323" s="128" t="n"/>
    </row>
    <row r="324">
      <c r="B324" s="133" t="n"/>
      <c r="E324" s="127" t="n"/>
      <c r="L324" s="128" t="n"/>
    </row>
    <row r="325">
      <c r="B325" s="133" t="n"/>
      <c r="E325" s="127" t="n"/>
      <c r="L325" s="128" t="n"/>
    </row>
    <row r="326">
      <c r="B326" s="133" t="n"/>
      <c r="E326" s="127" t="n"/>
      <c r="L326" s="128" t="n"/>
    </row>
    <row r="327">
      <c r="B327" s="133" t="n"/>
      <c r="E327" s="127" t="n"/>
      <c r="L327" s="128" t="n"/>
    </row>
    <row r="328">
      <c r="B328" s="133" t="n"/>
      <c r="E328" s="127" t="n"/>
      <c r="L328" s="128" t="n"/>
    </row>
    <row r="329">
      <c r="B329" s="133" t="n"/>
      <c r="E329" s="127" t="n"/>
      <c r="L329" s="128" t="n"/>
    </row>
    <row r="330">
      <c r="B330" s="133" t="n"/>
      <c r="E330" s="127" t="n"/>
      <c r="L330" s="128" t="n"/>
    </row>
    <row r="331">
      <c r="B331" s="133" t="n"/>
      <c r="E331" s="127" t="n"/>
      <c r="L331" s="128" t="n"/>
    </row>
    <row r="332">
      <c r="B332" s="133" t="n"/>
      <c r="E332" s="127" t="n"/>
      <c r="L332" s="128" t="n"/>
    </row>
    <row r="333">
      <c r="B333" s="133" t="n"/>
      <c r="E333" s="127" t="n"/>
      <c r="L333" s="128" t="n"/>
    </row>
    <row r="334">
      <c r="B334" s="133" t="n"/>
      <c r="E334" s="127" t="n"/>
      <c r="L334" s="128" t="n"/>
    </row>
    <row r="335">
      <c r="B335" s="133" t="n"/>
      <c r="E335" s="127" t="n"/>
      <c r="L335" s="128" t="n"/>
    </row>
    <row r="336">
      <c r="B336" s="133" t="n"/>
      <c r="E336" s="127" t="n"/>
      <c r="L336" s="128" t="n"/>
    </row>
    <row r="337">
      <c r="B337" s="133" t="n"/>
      <c r="E337" s="127" t="n"/>
      <c r="L337" s="128" t="n"/>
    </row>
    <row r="338">
      <c r="B338" s="133" t="n"/>
      <c r="E338" s="127" t="n"/>
      <c r="L338" s="128" t="n"/>
    </row>
    <row r="339">
      <c r="B339" s="133" t="n"/>
      <c r="E339" s="127" t="n"/>
      <c r="L339" s="128" t="n"/>
    </row>
    <row r="340">
      <c r="B340" s="133" t="n"/>
      <c r="E340" s="127" t="n"/>
      <c r="L340" s="128" t="n"/>
    </row>
    <row r="341">
      <c r="B341" s="133" t="n"/>
      <c r="E341" s="127" t="n"/>
      <c r="L341" s="128" t="n"/>
    </row>
    <row r="342">
      <c r="B342" s="133" t="n"/>
      <c r="E342" s="127" t="n"/>
      <c r="L342" s="128" t="n"/>
    </row>
    <row r="343">
      <c r="B343" s="133" t="n"/>
      <c r="E343" s="127" t="n"/>
      <c r="L343" s="128" t="n"/>
    </row>
    <row r="344">
      <c r="B344" s="133" t="n"/>
      <c r="E344" s="127" t="n"/>
      <c r="L344" s="128" t="n"/>
    </row>
    <row r="345">
      <c r="B345" s="133" t="n"/>
      <c r="E345" s="127" t="n"/>
      <c r="L345" s="128" t="n"/>
    </row>
    <row r="346">
      <c r="B346" s="133" t="n"/>
      <c r="E346" s="127" t="n"/>
      <c r="L346" s="128" t="n"/>
    </row>
    <row r="347">
      <c r="B347" s="133" t="n"/>
      <c r="E347" s="127" t="n"/>
      <c r="L347" s="128" t="n"/>
    </row>
    <row r="348">
      <c r="B348" s="133" t="n"/>
      <c r="E348" s="127" t="n"/>
      <c r="L348" s="128" t="n"/>
    </row>
    <row r="349">
      <c r="B349" s="133" t="n"/>
      <c r="E349" s="127" t="n"/>
      <c r="L349" s="128" t="n"/>
    </row>
    <row r="350">
      <c r="B350" s="133" t="n"/>
      <c r="E350" s="127" t="n"/>
      <c r="L350" s="128" t="n"/>
    </row>
    <row r="351">
      <c r="B351" s="133" t="n"/>
      <c r="E351" s="127" t="n"/>
      <c r="L351" s="128" t="n"/>
    </row>
    <row r="352">
      <c r="B352" s="133" t="n"/>
      <c r="E352" s="127" t="n"/>
      <c r="L352" s="128" t="n"/>
    </row>
    <row r="353">
      <c r="B353" s="133" t="n"/>
      <c r="E353" s="127" t="n"/>
      <c r="L353" s="128" t="n"/>
    </row>
    <row r="354">
      <c r="B354" s="133" t="n"/>
      <c r="E354" s="127" t="n"/>
      <c r="L354" s="128" t="n"/>
    </row>
    <row r="355">
      <c r="B355" s="133" t="n"/>
      <c r="E355" s="127" t="n"/>
      <c r="L355" s="128" t="n"/>
    </row>
    <row r="356">
      <c r="B356" s="133" t="n"/>
      <c r="E356" s="127" t="n"/>
      <c r="L356" s="128" t="n"/>
    </row>
    <row r="357">
      <c r="B357" s="133" t="n"/>
      <c r="E357" s="127" t="n"/>
      <c r="L357" s="128" t="n"/>
    </row>
    <row r="358">
      <c r="B358" s="133" t="n"/>
      <c r="E358" s="127" t="n"/>
      <c r="L358" s="128" t="n"/>
    </row>
    <row r="359">
      <c r="B359" s="133" t="n"/>
      <c r="E359" s="127" t="n"/>
      <c r="L359" s="128" t="n"/>
    </row>
    <row r="360">
      <c r="B360" s="133" t="n"/>
      <c r="E360" s="127" t="n"/>
      <c r="L360" s="128" t="n"/>
    </row>
    <row r="361">
      <c r="B361" s="133" t="n"/>
      <c r="E361" s="127" t="n"/>
      <c r="L361" s="128" t="n"/>
    </row>
    <row r="362">
      <c r="B362" s="133" t="n"/>
      <c r="E362" s="127" t="n"/>
      <c r="L362" s="128" t="n"/>
    </row>
    <row r="363">
      <c r="B363" s="133" t="n"/>
      <c r="E363" s="127" t="n"/>
      <c r="L363" s="128" t="n"/>
    </row>
    <row r="364">
      <c r="B364" s="133" t="n"/>
      <c r="E364" s="127" t="n"/>
      <c r="L364" s="128" t="n"/>
    </row>
    <row r="365">
      <c r="B365" s="133" t="n"/>
      <c r="E365" s="127" t="n"/>
      <c r="L365" s="128" t="n"/>
    </row>
    <row r="366">
      <c r="B366" s="133" t="n"/>
      <c r="E366" s="127" t="n"/>
      <c r="L366" s="128" t="n"/>
    </row>
    <row r="367">
      <c r="B367" s="133" t="n"/>
      <c r="E367" s="127" t="n"/>
      <c r="L367" s="128" t="n"/>
    </row>
    <row r="368">
      <c r="B368" s="133" t="n"/>
      <c r="E368" s="127" t="n"/>
      <c r="L368" s="128" t="n"/>
    </row>
    <row r="369">
      <c r="B369" s="133" t="n"/>
      <c r="E369" s="127" t="n"/>
      <c r="L369" s="128" t="n"/>
    </row>
    <row r="370">
      <c r="B370" s="133" t="n"/>
      <c r="E370" s="127" t="n"/>
      <c r="L370" s="128" t="n"/>
    </row>
    <row r="371">
      <c r="B371" s="133" t="n"/>
      <c r="E371" s="127" t="n"/>
      <c r="L371" s="128" t="n"/>
    </row>
    <row r="372">
      <c r="B372" s="133" t="n"/>
      <c r="E372" s="127" t="n"/>
      <c r="L372" s="128" t="n"/>
    </row>
    <row r="373">
      <c r="B373" s="133" t="n"/>
      <c r="E373" s="127" t="n"/>
      <c r="L373" s="128" t="n"/>
    </row>
    <row r="374">
      <c r="B374" s="133" t="n"/>
      <c r="E374" s="127" t="n"/>
      <c r="L374" s="128" t="n"/>
    </row>
    <row r="375">
      <c r="B375" s="133" t="n"/>
      <c r="E375" s="127" t="n"/>
      <c r="L375" s="128" t="n"/>
    </row>
    <row r="376">
      <c r="B376" s="133" t="n"/>
      <c r="E376" s="127" t="n"/>
      <c r="L376" s="128" t="n"/>
    </row>
    <row r="377">
      <c r="B377" s="133" t="n"/>
      <c r="E377" s="127" t="n"/>
      <c r="L377" s="128" t="n"/>
    </row>
    <row r="378">
      <c r="B378" s="133" t="n"/>
      <c r="E378" s="127" t="n"/>
      <c r="L378" s="128" t="n"/>
    </row>
    <row r="379">
      <c r="B379" s="133" t="n"/>
      <c r="E379" s="127" t="n"/>
      <c r="L379" s="128" t="n"/>
    </row>
    <row r="380">
      <c r="B380" s="133" t="n"/>
      <c r="E380" s="127" t="n"/>
      <c r="L380" s="128" t="n"/>
    </row>
    <row r="381">
      <c r="B381" s="133" t="n"/>
      <c r="E381" s="127" t="n"/>
      <c r="L381" s="128" t="n"/>
    </row>
    <row r="382">
      <c r="B382" s="133" t="n"/>
      <c r="E382" s="127" t="n"/>
      <c r="L382" s="128" t="n"/>
    </row>
    <row r="383">
      <c r="B383" s="133" t="n"/>
      <c r="E383" s="127" t="n"/>
      <c r="L383" s="128" t="n"/>
    </row>
    <row r="384">
      <c r="B384" s="133" t="n"/>
      <c r="E384" s="127" t="n"/>
      <c r="L384" s="128" t="n"/>
    </row>
    <row r="385">
      <c r="B385" s="133" t="n"/>
      <c r="E385" s="127" t="n"/>
      <c r="L385" s="128" t="n"/>
    </row>
    <row r="386">
      <c r="B386" s="133" t="n"/>
      <c r="E386" s="127" t="n"/>
      <c r="L386" s="128" t="n"/>
    </row>
    <row r="387">
      <c r="B387" s="133" t="n"/>
      <c r="E387" s="127" t="n"/>
      <c r="L387" s="128" t="n"/>
    </row>
    <row r="388">
      <c r="B388" s="133" t="n"/>
      <c r="E388" s="127" t="n"/>
      <c r="L388" s="128" t="n"/>
    </row>
    <row r="389">
      <c r="B389" s="133" t="n"/>
      <c r="E389" s="127" t="n"/>
      <c r="L389" s="128" t="n"/>
    </row>
    <row r="390">
      <c r="B390" s="133" t="n"/>
      <c r="E390" s="127" t="n"/>
      <c r="L390" s="128" t="n"/>
    </row>
    <row r="391">
      <c r="B391" s="133" t="n"/>
      <c r="E391" s="127" t="n"/>
      <c r="L391" s="128" t="n"/>
    </row>
    <row r="392">
      <c r="B392" s="133" t="n"/>
      <c r="E392" s="127" t="n"/>
      <c r="L392" s="128" t="n"/>
    </row>
    <row r="393">
      <c r="B393" s="133" t="n"/>
      <c r="E393" s="127" t="n"/>
      <c r="L393" s="128" t="n"/>
    </row>
    <row r="394">
      <c r="B394" s="133" t="n"/>
      <c r="E394" s="127" t="n"/>
      <c r="L394" s="128" t="n"/>
    </row>
    <row r="395">
      <c r="B395" s="133" t="n"/>
      <c r="E395" s="127" t="n"/>
      <c r="L395" s="128" t="n"/>
    </row>
    <row r="396">
      <c r="B396" s="133" t="n"/>
      <c r="E396" s="127" t="n"/>
      <c r="L396" s="128" t="n"/>
    </row>
    <row r="397">
      <c r="B397" s="133" t="n"/>
      <c r="E397" s="127" t="n"/>
      <c r="L397" s="128" t="n"/>
    </row>
    <row r="398">
      <c r="B398" s="133" t="n"/>
      <c r="E398" s="127" t="n"/>
      <c r="L398" s="128" t="n"/>
    </row>
    <row r="399">
      <c r="B399" s="133" t="n"/>
      <c r="E399" s="127" t="n"/>
      <c r="L399" s="128" t="n"/>
    </row>
    <row r="400">
      <c r="B400" s="133" t="n"/>
      <c r="E400" s="127" t="n"/>
      <c r="L400" s="128" t="n"/>
    </row>
    <row r="401">
      <c r="B401" s="133" t="n"/>
      <c r="E401" s="127" t="n"/>
      <c r="L401" s="128" t="n"/>
    </row>
    <row r="402">
      <c r="B402" s="133" t="n"/>
      <c r="E402" s="127" t="n"/>
      <c r="L402" s="128" t="n"/>
    </row>
    <row r="403">
      <c r="B403" s="133" t="n"/>
      <c r="E403" s="127" t="n"/>
      <c r="L403" s="128" t="n"/>
    </row>
    <row r="404">
      <c r="B404" s="133" t="n"/>
      <c r="E404" s="127" t="n"/>
      <c r="L404" s="128" t="n"/>
    </row>
    <row r="405">
      <c r="B405" s="133" t="n"/>
      <c r="E405" s="127" t="n"/>
      <c r="L405" s="128" t="n"/>
    </row>
    <row r="406">
      <c r="B406" s="133" t="n"/>
      <c r="E406" s="127" t="n"/>
      <c r="L406" s="128" t="n"/>
    </row>
    <row r="407">
      <c r="B407" s="133" t="n"/>
      <c r="E407" s="127" t="n"/>
      <c r="L407" s="128" t="n"/>
    </row>
    <row r="408">
      <c r="B408" s="133" t="n"/>
      <c r="E408" s="127" t="n"/>
      <c r="L408" s="128" t="n"/>
    </row>
    <row r="409">
      <c r="B409" s="133" t="n"/>
      <c r="E409" s="127" t="n"/>
      <c r="L409" s="128" t="n"/>
    </row>
    <row r="410">
      <c r="B410" s="133" t="n"/>
      <c r="E410" s="127" t="n"/>
      <c r="L410" s="128" t="n"/>
    </row>
    <row r="411">
      <c r="B411" s="133" t="n"/>
      <c r="E411" s="127" t="n"/>
      <c r="L411" s="128" t="n"/>
    </row>
    <row r="412">
      <c r="B412" s="133" t="n"/>
      <c r="E412" s="127" t="n"/>
      <c r="L412" s="128" t="n"/>
    </row>
    <row r="413">
      <c r="B413" s="133" t="n"/>
      <c r="E413" s="127" t="n"/>
      <c r="L413" s="128" t="n"/>
    </row>
    <row r="414">
      <c r="B414" s="133" t="n"/>
      <c r="E414" s="127" t="n"/>
      <c r="L414" s="128" t="n"/>
    </row>
    <row r="415">
      <c r="B415" s="133" t="n"/>
      <c r="E415" s="127" t="n"/>
      <c r="L415" s="128" t="n"/>
    </row>
    <row r="416">
      <c r="B416" s="133" t="n"/>
      <c r="E416" s="127" t="n"/>
      <c r="L416" s="128" t="n"/>
    </row>
    <row r="417">
      <c r="B417" s="133" t="n"/>
      <c r="E417" s="127" t="n"/>
      <c r="L417" s="128" t="n"/>
    </row>
    <row r="418">
      <c r="B418" s="133" t="n"/>
      <c r="E418" s="127" t="n"/>
      <c r="L418" s="128" t="n"/>
    </row>
    <row r="419">
      <c r="B419" s="133" t="n"/>
      <c r="E419" s="127" t="n"/>
      <c r="L419" s="128" t="n"/>
    </row>
    <row r="420">
      <c r="B420" s="133" t="n"/>
      <c r="E420" s="127" t="n"/>
      <c r="L420" s="128" t="n"/>
    </row>
    <row r="421">
      <c r="B421" s="133" t="n"/>
      <c r="E421" s="127" t="n"/>
      <c r="L421" s="128" t="n"/>
    </row>
    <row r="422">
      <c r="B422" s="133" t="n"/>
      <c r="E422" s="127" t="n"/>
      <c r="L422" s="128" t="n"/>
    </row>
    <row r="423">
      <c r="B423" s="133" t="n"/>
      <c r="E423" s="127" t="n"/>
      <c r="L423" s="128" t="n"/>
    </row>
    <row r="424">
      <c r="B424" s="133" t="n"/>
      <c r="E424" s="127" t="n"/>
      <c r="L424" s="128" t="n"/>
    </row>
    <row r="425">
      <c r="B425" s="133" t="n"/>
      <c r="E425" s="127" t="n"/>
      <c r="L425" s="128" t="n"/>
    </row>
    <row r="426">
      <c r="B426" s="133" t="n"/>
      <c r="E426" s="127" t="n"/>
      <c r="L426" s="128" t="n"/>
    </row>
    <row r="427">
      <c r="B427" s="133" t="n"/>
      <c r="E427" s="127" t="n"/>
      <c r="L427" s="128" t="n"/>
    </row>
    <row r="428">
      <c r="B428" s="133" t="n"/>
      <c r="E428" s="127" t="n"/>
      <c r="L428" s="128" t="n"/>
    </row>
    <row r="429">
      <c r="B429" s="133" t="n"/>
      <c r="E429" s="127" t="n"/>
      <c r="L429" s="128" t="n"/>
    </row>
    <row r="430">
      <c r="B430" s="133" t="n"/>
      <c r="E430" s="127" t="n"/>
      <c r="L430" s="128" t="n"/>
    </row>
    <row r="431">
      <c r="B431" s="133" t="n"/>
      <c r="E431" s="127" t="n"/>
      <c r="L431" s="128" t="n"/>
    </row>
    <row r="432">
      <c r="B432" s="133" t="n"/>
      <c r="E432" s="127" t="n"/>
      <c r="L432" s="128" t="n"/>
    </row>
    <row r="433">
      <c r="B433" s="133" t="n"/>
      <c r="E433" s="127" t="n"/>
      <c r="L433" s="128" t="n"/>
    </row>
    <row r="434">
      <c r="B434" s="133" t="n"/>
      <c r="E434" s="127" t="n"/>
      <c r="L434" s="128" t="n"/>
    </row>
    <row r="435">
      <c r="B435" s="133" t="n"/>
      <c r="E435" s="127" t="n"/>
      <c r="L435" s="128" t="n"/>
    </row>
    <row r="436">
      <c r="B436" s="133" t="n"/>
      <c r="E436" s="127" t="n"/>
      <c r="L436" s="128" t="n"/>
    </row>
    <row r="437">
      <c r="B437" s="133" t="n"/>
      <c r="E437" s="127" t="n"/>
      <c r="L437" s="128" t="n"/>
    </row>
    <row r="438">
      <c r="B438" s="133" t="n"/>
      <c r="E438" s="127" t="n"/>
      <c r="L438" s="128" t="n"/>
    </row>
    <row r="439">
      <c r="B439" s="133" t="n"/>
      <c r="E439" s="127" t="n"/>
      <c r="L439" s="128" t="n"/>
    </row>
    <row r="440">
      <c r="B440" s="133" t="n"/>
      <c r="E440" s="127" t="n"/>
      <c r="L440" s="128" t="n"/>
    </row>
    <row r="441">
      <c r="B441" s="133" t="n"/>
      <c r="E441" s="127" t="n"/>
      <c r="L441" s="128" t="n"/>
    </row>
    <row r="442">
      <c r="B442" s="133" t="n"/>
      <c r="E442" s="127" t="n"/>
      <c r="L442" s="128" t="n"/>
    </row>
    <row r="443">
      <c r="B443" s="133" t="n"/>
      <c r="E443" s="127" t="n"/>
      <c r="L443" s="128" t="n"/>
    </row>
    <row r="444">
      <c r="B444" s="133" t="n"/>
      <c r="E444" s="127" t="n"/>
      <c r="L444" s="128" t="n"/>
    </row>
    <row r="445">
      <c r="B445" s="133" t="n"/>
      <c r="E445" s="127" t="n"/>
      <c r="L445" s="128" t="n"/>
    </row>
    <row r="446">
      <c r="B446" s="133" t="n"/>
      <c r="E446" s="127" t="n"/>
      <c r="L446" s="128" t="n"/>
    </row>
    <row r="447">
      <c r="B447" s="133" t="n"/>
      <c r="E447" s="127" t="n"/>
      <c r="L447" s="128" t="n"/>
    </row>
    <row r="448">
      <c r="B448" s="133" t="n"/>
      <c r="E448" s="127" t="n"/>
      <c r="L448" s="128" t="n"/>
    </row>
    <row r="449">
      <c r="B449" s="133" t="n"/>
      <c r="E449" s="127" t="n"/>
      <c r="L449" s="128" t="n"/>
    </row>
    <row r="450">
      <c r="B450" s="133" t="n"/>
      <c r="E450" s="127" t="n"/>
      <c r="L450" s="128" t="n"/>
    </row>
    <row r="451">
      <c r="B451" s="133" t="n"/>
      <c r="E451" s="127" t="n"/>
      <c r="L451" s="128" t="n"/>
    </row>
    <row r="452">
      <c r="B452" s="133" t="n"/>
      <c r="E452" s="127" t="n"/>
      <c r="L452" s="128" t="n"/>
    </row>
    <row r="453">
      <c r="B453" s="133" t="n"/>
      <c r="E453" s="127" t="n"/>
      <c r="L453" s="128" t="n"/>
    </row>
    <row r="454">
      <c r="B454" s="133" t="n"/>
      <c r="E454" s="127" t="n"/>
      <c r="L454" s="128" t="n"/>
    </row>
    <row r="455">
      <c r="B455" s="133" t="n"/>
      <c r="E455" s="127" t="n"/>
      <c r="L455" s="128" t="n"/>
    </row>
    <row r="456">
      <c r="B456" s="133" t="n"/>
      <c r="E456" s="127" t="n"/>
      <c r="L456" s="128" t="n"/>
    </row>
    <row r="457">
      <c r="B457" s="133" t="n"/>
      <c r="E457" s="127" t="n"/>
      <c r="L457" s="128" t="n"/>
    </row>
    <row r="458">
      <c r="B458" s="133" t="n"/>
      <c r="E458" s="127" t="n"/>
      <c r="L458" s="128" t="n"/>
    </row>
    <row r="459">
      <c r="B459" s="133" t="n"/>
      <c r="E459" s="127" t="n"/>
      <c r="L459" s="128" t="n"/>
    </row>
    <row r="460">
      <c r="B460" s="133" t="n"/>
      <c r="E460" s="127" t="n"/>
      <c r="L460" s="128" t="n"/>
    </row>
    <row r="461">
      <c r="B461" s="133" t="n"/>
      <c r="E461" s="127" t="n"/>
      <c r="L461" s="128" t="n"/>
    </row>
    <row r="462">
      <c r="B462" s="133" t="n"/>
      <c r="E462" s="127" t="n"/>
      <c r="L462" s="128" t="n"/>
    </row>
    <row r="463">
      <c r="B463" s="133" t="n"/>
      <c r="E463" s="127" t="n"/>
      <c r="L463" s="128" t="n"/>
    </row>
    <row r="464">
      <c r="B464" s="133" t="n"/>
      <c r="E464" s="127" t="n"/>
      <c r="L464" s="128" t="n"/>
    </row>
    <row r="465">
      <c r="B465" s="133" t="n"/>
      <c r="E465" s="127" t="n"/>
      <c r="L465" s="128" t="n"/>
    </row>
    <row r="466">
      <c r="B466" s="133" t="n"/>
      <c r="E466" s="127" t="n"/>
      <c r="L466" s="128" t="n"/>
    </row>
    <row r="467">
      <c r="B467" s="133" t="n"/>
      <c r="E467" s="127" t="n"/>
      <c r="L467" s="128" t="n"/>
    </row>
    <row r="468">
      <c r="B468" s="133" t="n"/>
      <c r="E468" s="127" t="n"/>
      <c r="L468" s="128" t="n"/>
    </row>
    <row r="469">
      <c r="B469" s="133" t="n"/>
      <c r="E469" s="127" t="n"/>
      <c r="L469" s="128" t="n"/>
    </row>
    <row r="470">
      <c r="B470" s="133" t="n"/>
      <c r="E470" s="127" t="n"/>
      <c r="L470" s="128" t="n"/>
    </row>
    <row r="471">
      <c r="B471" s="133" t="n"/>
      <c r="E471" s="127" t="n"/>
      <c r="L471" s="128" t="n"/>
    </row>
    <row r="472">
      <c r="B472" s="133" t="n"/>
      <c r="E472" s="127" t="n"/>
      <c r="L472" s="128" t="n"/>
    </row>
    <row r="473">
      <c r="B473" s="133" t="n"/>
      <c r="E473" s="127" t="n"/>
      <c r="L473" s="128" t="n"/>
    </row>
    <row r="474">
      <c r="B474" s="133" t="n"/>
      <c r="E474" s="127" t="n"/>
      <c r="L474" s="128" t="n"/>
    </row>
    <row r="475">
      <c r="B475" s="133" t="n"/>
      <c r="E475" s="127" t="n"/>
      <c r="L475" s="128" t="n"/>
    </row>
    <row r="476">
      <c r="B476" s="133" t="n"/>
      <c r="E476" s="127" t="n"/>
      <c r="L476" s="128" t="n"/>
    </row>
    <row r="477">
      <c r="B477" s="133" t="n"/>
      <c r="E477" s="127" t="n"/>
      <c r="L477" s="128" t="n"/>
    </row>
    <row r="478">
      <c r="B478" s="133" t="n"/>
      <c r="E478" s="127" t="n"/>
      <c r="L478" s="128" t="n"/>
    </row>
    <row r="479">
      <c r="B479" s="133" t="n"/>
      <c r="E479" s="127" t="n"/>
      <c r="L479" s="128" t="n"/>
    </row>
    <row r="480">
      <c r="B480" s="133" t="n"/>
      <c r="E480" s="127" t="n"/>
      <c r="L480" s="128" t="n"/>
    </row>
    <row r="481">
      <c r="B481" s="133" t="n"/>
      <c r="E481" s="127" t="n"/>
      <c r="L481" s="128" t="n"/>
    </row>
    <row r="482">
      <c r="B482" s="133" t="n"/>
      <c r="E482" s="127" t="n"/>
      <c r="L482" s="128" t="n"/>
    </row>
    <row r="483">
      <c r="B483" s="133" t="n"/>
      <c r="E483" s="127" t="n"/>
      <c r="L483" s="128" t="n"/>
    </row>
    <row r="484">
      <c r="B484" s="133" t="n"/>
      <c r="E484" s="127" t="n"/>
      <c r="L484" s="128" t="n"/>
    </row>
    <row r="485">
      <c r="B485" s="133" t="n"/>
      <c r="E485" s="127" t="n"/>
      <c r="L485" s="128" t="n"/>
    </row>
    <row r="486">
      <c r="B486" s="133" t="n"/>
      <c r="E486" s="127" t="n"/>
      <c r="L486" s="128" t="n"/>
    </row>
    <row r="487">
      <c r="B487" s="133" t="n"/>
      <c r="E487" s="127" t="n"/>
      <c r="L487" s="128" t="n"/>
    </row>
    <row r="488">
      <c r="B488" s="133" t="n"/>
      <c r="E488" s="127" t="n"/>
      <c r="L488" s="128" t="n"/>
    </row>
    <row r="489">
      <c r="B489" s="133" t="n"/>
      <c r="E489" s="127" t="n"/>
      <c r="L489" s="128" t="n"/>
    </row>
    <row r="490">
      <c r="B490" s="133" t="n"/>
      <c r="E490" s="127" t="n"/>
      <c r="L490" s="128" t="n"/>
    </row>
    <row r="491">
      <c r="B491" s="133" t="n"/>
      <c r="E491" s="127" t="n"/>
      <c r="L491" s="128" t="n"/>
    </row>
    <row r="492">
      <c r="B492" s="133" t="n"/>
      <c r="E492" s="127" t="n"/>
      <c r="L492" s="128" t="n"/>
    </row>
    <row r="493">
      <c r="B493" s="133" t="n"/>
      <c r="E493" s="127" t="n"/>
      <c r="L493" s="128" t="n"/>
    </row>
    <row r="494">
      <c r="B494" s="133" t="n"/>
      <c r="E494" s="127" t="n"/>
      <c r="L494" s="128" t="n"/>
    </row>
    <row r="495">
      <c r="B495" s="133" t="n"/>
      <c r="E495" s="127" t="n"/>
      <c r="L495" s="128" t="n"/>
    </row>
    <row r="496">
      <c r="B496" s="133" t="n"/>
      <c r="E496" s="127" t="n"/>
      <c r="L496" s="128" t="n"/>
    </row>
    <row r="497">
      <c r="B497" s="133" t="n"/>
      <c r="E497" s="127" t="n"/>
      <c r="L497" s="128" t="n"/>
    </row>
    <row r="498">
      <c r="B498" s="133" t="n"/>
      <c r="E498" s="127" t="n"/>
      <c r="L498" s="128" t="n"/>
    </row>
    <row r="499">
      <c r="B499" s="133" t="n"/>
      <c r="E499" s="127" t="n"/>
      <c r="L499" s="128" t="n"/>
    </row>
    <row r="500">
      <c r="B500" s="133" t="n"/>
      <c r="E500" s="127" t="n"/>
      <c r="L500" s="128" t="n"/>
    </row>
    <row r="501">
      <c r="B501" s="133" t="n"/>
      <c r="E501" s="127" t="n"/>
      <c r="L501" s="128" t="n"/>
    </row>
    <row r="502">
      <c r="B502" s="133" t="n"/>
      <c r="E502" s="127" t="n"/>
      <c r="L502" s="128" t="n"/>
    </row>
    <row r="503">
      <c r="B503" s="133" t="n"/>
      <c r="E503" s="127" t="n"/>
      <c r="L503" s="128" t="n"/>
    </row>
    <row r="504">
      <c r="B504" s="133" t="n"/>
      <c r="E504" s="127" t="n"/>
      <c r="L504" s="128" t="n"/>
    </row>
  </sheetData>
  <mergeCells count="2">
    <mergeCell ref="A3:N3"/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36" min="1" max="1"/>
    <col width="20" customWidth="1" style="36" min="2" max="2"/>
    <col width="18" customWidth="1" style="36" min="3" max="3"/>
    <col width="12" customWidth="1" style="36" min="4" max="4"/>
    <col width="22" customWidth="1" style="36" min="5" max="5"/>
    <col width="36" customWidth="1" style="36" min="6" max="6"/>
  </cols>
  <sheetData>
    <row r="1" ht="28" customHeight="1" s="36">
      <c r="A1" s="29" t="inlineStr">
        <is>
          <t>Field Mapping — Provider → Model</t>
        </is>
      </c>
      <c r="B1" s="41" t="n"/>
      <c r="C1" s="41" t="n"/>
      <c r="D1" s="41" t="n"/>
      <c r="E1" s="41" t="n"/>
      <c r="F1" s="41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>
      <c r="A3" s="35" t="inlineStr">
        <is>
          <t>Provider Field</t>
        </is>
      </c>
      <c r="B3" s="35" t="inlineStr">
        <is>
          <t>Model Field</t>
        </is>
      </c>
      <c r="C3" s="35" t="inlineStr">
        <is>
          <t>Transformation</t>
        </is>
      </c>
      <c r="D3" s="35" t="inlineStr">
        <is>
          <t>Required?</t>
        </is>
      </c>
      <c r="E3" s="35" t="inlineStr">
        <is>
          <t>Example</t>
        </is>
      </c>
      <c r="F3" s="35" t="inlineStr">
        <is>
          <t>Notes</t>
        </is>
      </c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</row>
    <row r="4">
      <c r="A4" s="84" t="inlineStr">
        <is>
          <t>transaction_id</t>
        </is>
      </c>
      <c r="B4" s="84" t="inlineStr">
        <is>
          <t>Transaction ID</t>
        </is>
      </c>
      <c r="C4" s="84" t="inlineStr">
        <is>
          <t>Direct</t>
        </is>
      </c>
      <c r="D4" s="84" t="inlineStr">
        <is>
          <t>Yes</t>
        </is>
      </c>
      <c r="E4" s="84" t="inlineStr">
        <is>
          <t>abc123</t>
        </is>
      </c>
      <c r="F4" s="84" t="inlineStr">
        <is>
          <t>Use provider unique ID when available</t>
        </is>
      </c>
      <c r="G4" s="84" t="n"/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</row>
    <row r="5">
      <c r="A5" s="84" t="inlineStr">
        <is>
          <t>date</t>
        </is>
      </c>
      <c r="B5" s="84" t="inlineStr">
        <is>
          <t>Date</t>
        </is>
      </c>
      <c r="C5" s="84" t="inlineStr">
        <is>
          <t>Date</t>
        </is>
      </c>
      <c r="D5" s="84" t="inlineStr">
        <is>
          <t>Yes</t>
        </is>
      </c>
      <c r="E5" s="84" t="inlineStr">
        <is>
          <t>2026-08-19</t>
        </is>
      </c>
      <c r="F5" s="84" t="inlineStr">
        <is>
          <t>Posting/transaction date</t>
        </is>
      </c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</row>
    <row r="6">
      <c r="A6" s="84" t="inlineStr">
        <is>
          <t>account_id</t>
        </is>
      </c>
      <c r="B6" s="84" t="inlineStr">
        <is>
          <t>Account ID</t>
        </is>
      </c>
      <c r="C6" s="84" t="inlineStr">
        <is>
          <t>Lookup</t>
        </is>
      </c>
      <c r="D6" s="84" t="inlineStr">
        <is>
          <t>Yes</t>
        </is>
      </c>
      <c r="E6" s="84" t="inlineStr">
        <is>
          <t>A001</t>
        </is>
      </c>
      <c r="F6" s="84" t="inlineStr">
        <is>
          <t>Map external account to internal ID</t>
        </is>
      </c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</row>
    <row r="7">
      <c r="A7" s="84" t="inlineStr">
        <is>
          <t>merchant_name</t>
        </is>
      </c>
      <c r="B7" s="84" t="inlineStr">
        <is>
          <t>Merchant</t>
        </is>
      </c>
      <c r="C7" s="84" t="inlineStr">
        <is>
          <t>Direct</t>
        </is>
      </c>
      <c r="D7" s="84" t="inlineStr">
        <is>
          <t>No</t>
        </is>
      </c>
      <c r="E7" s="84" t="inlineStr">
        <is>
          <t>Wawa</t>
        </is>
      </c>
      <c r="F7" s="84" t="inlineStr">
        <is>
          <t>Fallback to description</t>
        </is>
      </c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</row>
    <row r="8">
      <c r="A8" s="84" t="inlineStr">
        <is>
          <t>name/description</t>
        </is>
      </c>
      <c r="B8" s="84" t="inlineStr">
        <is>
          <t>Description</t>
        </is>
      </c>
      <c r="C8" s="84" t="inlineStr">
        <is>
          <t>Direct</t>
        </is>
      </c>
      <c r="D8" s="84" t="inlineStr">
        <is>
          <t>Yes</t>
        </is>
      </c>
      <c r="E8" s="84" t="inlineStr">
        <is>
          <t>WAWA #1234</t>
        </is>
      </c>
      <c r="F8" s="84" t="inlineStr">
        <is>
          <t>Original source text</t>
        </is>
      </c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>
      <c r="A9" s="84" t="inlineStr">
        <is>
          <t>amount</t>
        </is>
      </c>
      <c r="B9" s="84" t="inlineStr">
        <is>
          <t>Amount ($)</t>
        </is>
      </c>
      <c r="C9" s="84" t="inlineStr">
        <is>
          <t>Direct</t>
        </is>
      </c>
      <c r="D9" s="84" t="inlineStr">
        <is>
          <t>Yes</t>
        </is>
      </c>
      <c r="E9" s="84" t="n">
        <v>-18.42</v>
      </c>
      <c r="F9" s="84" t="inlineStr">
        <is>
          <t>Preserve provider sign</t>
        </is>
      </c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>
      <c r="A10" s="84" t="inlineStr">
        <is>
          <t>currency</t>
        </is>
      </c>
      <c r="B10" s="84" t="inlineStr">
        <is>
          <t>Currency</t>
        </is>
      </c>
      <c r="C10" s="84" t="inlineStr">
        <is>
          <t>Direct</t>
        </is>
      </c>
      <c r="D10" s="84" t="inlineStr">
        <is>
          <t>No</t>
        </is>
      </c>
      <c r="E10" s="84" t="inlineStr">
        <is>
          <t>USD</t>
        </is>
      </c>
      <c r="F10" s="84" t="inlineStr">
        <is>
          <t>Base currency used in reporting</t>
        </is>
      </c>
      <c r="G10" s="84" t="n"/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>
      <c r="A11" s="84" t="inlineStr">
        <is>
          <t>pending</t>
        </is>
      </c>
      <c r="B11" s="84" t="inlineStr">
        <is>
          <t>Pending?</t>
        </is>
      </c>
      <c r="C11" s="84" t="inlineStr">
        <is>
          <t>Boolean</t>
        </is>
      </c>
      <c r="D11" s="84" t="inlineStr">
        <is>
          <t>No</t>
        </is>
      </c>
      <c r="E11" s="84" t="b">
        <v>0</v>
      </c>
      <c r="F11" s="84" t="inlineStr">
        <is>
          <t>Flag pending transactions</t>
        </is>
      </c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>
      <c r="A13" s="84" t="n"/>
      <c r="B13" s="84" t="n"/>
      <c r="C13" s="84" t="n"/>
      <c r="D13" s="84" t="n"/>
      <c r="E13" s="84" t="n"/>
      <c r="F13" s="84" t="n"/>
      <c r="G13" s="84" t="n"/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>
      <c r="A15" s="84" t="n"/>
      <c r="B15" s="84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36" min="1" max="1"/>
    <col width="10" customWidth="1" style="36" min="2" max="2"/>
    <col width="10" customWidth="1" style="36" min="3" max="3"/>
    <col width="14" customWidth="1" style="36" min="4" max="4"/>
    <col width="24" customWidth="1" style="36" min="5" max="5"/>
    <col width="18" customWidth="1" style="36" min="6" max="6"/>
    <col width="22" customWidth="1" style="36" min="7" max="7"/>
    <col width="16" customWidth="1" style="36" min="8" max="8"/>
    <col width="12" customWidth="1" style="36" min="9" max="9"/>
    <col width="28" customWidth="1" style="36" min="10" max="10"/>
  </cols>
  <sheetData>
    <row r="1" ht="28" customHeight="1" s="36">
      <c r="A1" s="29" t="inlineStr">
        <is>
          <t>Automatic Categorization Rules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>
      <c r="A3" s="35" t="inlineStr">
        <is>
          <t>Rule ID</t>
        </is>
      </c>
      <c r="B3" s="35" t="inlineStr">
        <is>
          <t>Active?</t>
        </is>
      </c>
      <c r="C3" s="35" t="inlineStr">
        <is>
          <t>Priority</t>
        </is>
      </c>
      <c r="D3" s="35" t="inlineStr">
        <is>
          <t>Match Type</t>
        </is>
      </c>
      <c r="E3" s="35" t="inlineStr">
        <is>
          <t>Merchant / Text Pattern</t>
        </is>
      </c>
      <c r="F3" s="35" t="inlineStr">
        <is>
          <t>Category</t>
        </is>
      </c>
      <c r="G3" s="35" t="inlineStr">
        <is>
          <t>Subcategory</t>
        </is>
      </c>
      <c r="H3" s="35" t="inlineStr">
        <is>
          <t>Type Override</t>
        </is>
      </c>
      <c r="I3" s="35" t="inlineStr">
        <is>
          <t>Recurring?</t>
        </is>
      </c>
      <c r="J3" s="35" t="inlineStr">
        <is>
          <t>Notes</t>
        </is>
      </c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</row>
    <row r="4">
      <c r="A4" s="104" t="inlineStr">
        <is>
          <t>R001</t>
        </is>
      </c>
      <c r="B4" s="104" t="inlineStr">
        <is>
          <t>Yes</t>
        </is>
      </c>
      <c r="C4" s="104" t="n">
        <v>1</v>
      </c>
      <c r="D4" s="104" t="inlineStr">
        <is>
          <t>Contains</t>
        </is>
      </c>
      <c r="E4" s="104" t="inlineStr">
        <is>
          <t>WAWA</t>
        </is>
      </c>
      <c r="F4" s="104" t="inlineStr">
        <is>
          <t>Food</t>
        </is>
      </c>
      <c r="G4" s="104" t="inlineStr">
        <is>
          <t>Dining Out</t>
        </is>
      </c>
      <c r="H4" s="104" t="inlineStr">
        <is>
          <t>Expense</t>
        </is>
      </c>
      <c r="I4" s="104" t="inlineStr">
        <is>
          <t>No</t>
        </is>
      </c>
      <c r="J4" s="104" t="inlineStr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</row>
    <row r="5">
      <c r="A5" s="104" t="inlineStr">
        <is>
          <t>R002</t>
        </is>
      </c>
      <c r="B5" s="104" t="inlineStr">
        <is>
          <t>Yes</t>
        </is>
      </c>
      <c r="C5" s="104" t="n">
        <v>2</v>
      </c>
      <c r="D5" s="104" t="inlineStr">
        <is>
          <t>Contains</t>
        </is>
      </c>
      <c r="E5" s="104" t="inlineStr">
        <is>
          <t>CHICK-FIL-A</t>
        </is>
      </c>
      <c r="F5" s="104" t="inlineStr">
        <is>
          <t>Food</t>
        </is>
      </c>
      <c r="G5" s="104" t="inlineStr">
        <is>
          <t>Dining Out</t>
        </is>
      </c>
      <c r="H5" s="104" t="inlineStr">
        <is>
          <t>Expense</t>
        </is>
      </c>
      <c r="I5" s="104" t="inlineStr">
        <is>
          <t>No</t>
        </is>
      </c>
      <c r="J5" s="104" t="inlineStr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</row>
    <row r="6">
      <c r="A6" s="104" t="inlineStr">
        <is>
          <t>R003</t>
        </is>
      </c>
      <c r="B6" s="104" t="inlineStr">
        <is>
          <t>Yes</t>
        </is>
      </c>
      <c r="C6" s="104" t="n">
        <v>3</v>
      </c>
      <c r="D6" s="104" t="inlineStr">
        <is>
          <t>Contains</t>
        </is>
      </c>
      <c r="E6" s="104" t="inlineStr">
        <is>
          <t>MCDONALD</t>
        </is>
      </c>
      <c r="F6" s="104" t="inlineStr">
        <is>
          <t>Food</t>
        </is>
      </c>
      <c r="G6" s="104" t="inlineStr">
        <is>
          <t>Dining Out</t>
        </is>
      </c>
      <c r="H6" s="104" t="inlineStr">
        <is>
          <t>Expense</t>
        </is>
      </c>
      <c r="I6" s="104" t="inlineStr">
        <is>
          <t>No</t>
        </is>
      </c>
      <c r="J6" s="104" t="inlineStr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</row>
    <row r="7">
      <c r="A7" s="104" t="inlineStr">
        <is>
          <t>R004</t>
        </is>
      </c>
      <c r="B7" s="104" t="inlineStr">
        <is>
          <t>Yes</t>
        </is>
      </c>
      <c r="C7" s="104" t="n">
        <v>4</v>
      </c>
      <c r="D7" s="104" t="inlineStr">
        <is>
          <t>Contains</t>
        </is>
      </c>
      <c r="E7" s="104" t="inlineStr">
        <is>
          <t>TARGET</t>
        </is>
      </c>
      <c r="F7" s="104" t="inlineStr">
        <is>
          <t>Shopping</t>
        </is>
      </c>
      <c r="G7" s="104" t="inlineStr">
        <is>
          <t>General</t>
        </is>
      </c>
      <c r="H7" s="104" t="inlineStr">
        <is>
          <t>Expense</t>
        </is>
      </c>
      <c r="I7" s="104" t="inlineStr">
        <is>
          <t>No</t>
        </is>
      </c>
      <c r="J7" s="104" t="inlineStr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</row>
    <row r="8">
      <c r="A8" s="104" t="inlineStr">
        <is>
          <t>R005</t>
        </is>
      </c>
      <c r="B8" s="104" t="inlineStr">
        <is>
          <t>Yes</t>
        </is>
      </c>
      <c r="C8" s="104" t="n">
        <v>5</v>
      </c>
      <c r="D8" s="104" t="inlineStr">
        <is>
          <t>Contains</t>
        </is>
      </c>
      <c r="E8" s="104" t="inlineStr">
        <is>
          <t>WALMART</t>
        </is>
      </c>
      <c r="F8" s="104" t="inlineStr">
        <is>
          <t>Shopping</t>
        </is>
      </c>
      <c r="G8" s="104" t="inlineStr">
        <is>
          <t>General</t>
        </is>
      </c>
      <c r="H8" s="104" t="inlineStr">
        <is>
          <t>Expense</t>
        </is>
      </c>
      <c r="I8" s="104" t="inlineStr">
        <is>
          <t>No</t>
        </is>
      </c>
      <c r="J8" s="104" t="inlineStr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>
      <c r="A9" s="104" t="inlineStr">
        <is>
          <t>R006</t>
        </is>
      </c>
      <c r="B9" s="104" t="inlineStr">
        <is>
          <t>Yes</t>
        </is>
      </c>
      <c r="C9" s="104" t="n">
        <v>6</v>
      </c>
      <c r="D9" s="104" t="inlineStr">
        <is>
          <t>Contains</t>
        </is>
      </c>
      <c r="E9" s="104" t="inlineStr">
        <is>
          <t>AMAZON</t>
        </is>
      </c>
      <c r="F9" s="104" t="inlineStr">
        <is>
          <t>Shopping</t>
        </is>
      </c>
      <c r="G9" s="104" t="inlineStr">
        <is>
          <t>Online Shopping</t>
        </is>
      </c>
      <c r="H9" s="104" t="inlineStr">
        <is>
          <t>Expense</t>
        </is>
      </c>
      <c r="I9" s="104" t="inlineStr">
        <is>
          <t>No</t>
        </is>
      </c>
      <c r="J9" s="104" t="inlineStr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>
      <c r="A10" s="104" t="inlineStr">
        <is>
          <t>R007</t>
        </is>
      </c>
      <c r="B10" s="104" t="inlineStr">
        <is>
          <t>Yes</t>
        </is>
      </c>
      <c r="C10" s="104" t="n">
        <v>7</v>
      </c>
      <c r="D10" s="104" t="inlineStr">
        <is>
          <t>Contains</t>
        </is>
      </c>
      <c r="E10" s="104" t="inlineStr">
        <is>
          <t>UBER</t>
        </is>
      </c>
      <c r="F10" s="104" t="inlineStr">
        <is>
          <t>Transportation</t>
        </is>
      </c>
      <c r="G10" s="104" t="inlineStr">
        <is>
          <t>Rideshare</t>
        </is>
      </c>
      <c r="H10" s="104" t="inlineStr">
        <is>
          <t>Expense</t>
        </is>
      </c>
      <c r="I10" s="104" t="inlineStr">
        <is>
          <t>No</t>
        </is>
      </c>
      <c r="J10" s="104" t="inlineStr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>
      <c r="A11" s="104" t="inlineStr">
        <is>
          <t>R008</t>
        </is>
      </c>
      <c r="B11" s="104" t="inlineStr">
        <is>
          <t>Yes</t>
        </is>
      </c>
      <c r="C11" s="104" t="n">
        <v>8</v>
      </c>
      <c r="D11" s="104" t="inlineStr">
        <is>
          <t>Contains</t>
        </is>
      </c>
      <c r="E11" s="104" t="inlineStr">
        <is>
          <t>LYFT</t>
        </is>
      </c>
      <c r="F11" s="104" t="inlineStr">
        <is>
          <t>Transportation</t>
        </is>
      </c>
      <c r="G11" s="104" t="inlineStr">
        <is>
          <t>Rideshare</t>
        </is>
      </c>
      <c r="H11" s="104" t="inlineStr">
        <is>
          <t>Expense</t>
        </is>
      </c>
      <c r="I11" s="104" t="inlineStr">
        <is>
          <t>No</t>
        </is>
      </c>
      <c r="J11" s="104" t="inlineStr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>
      <c r="A12" s="104" t="inlineStr">
        <is>
          <t>R009</t>
        </is>
      </c>
      <c r="B12" s="104" t="inlineStr">
        <is>
          <t>Yes</t>
        </is>
      </c>
      <c r="C12" s="104" t="n">
        <v>9</v>
      </c>
      <c r="D12" s="104" t="inlineStr">
        <is>
          <t>Contains</t>
        </is>
      </c>
      <c r="E12" s="104" t="inlineStr">
        <is>
          <t>SHELL</t>
        </is>
      </c>
      <c r="F12" s="104" t="inlineStr">
        <is>
          <t>Transportation</t>
        </is>
      </c>
      <c r="G12" s="104" t="inlineStr">
        <is>
          <t>Gas</t>
        </is>
      </c>
      <c r="H12" s="104" t="inlineStr">
        <is>
          <t>Expense</t>
        </is>
      </c>
      <c r="I12" s="104" t="inlineStr">
        <is>
          <t>No</t>
        </is>
      </c>
      <c r="J12" s="104" t="inlineStr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>
      <c r="A13" s="104" t="inlineStr">
        <is>
          <t>R010</t>
        </is>
      </c>
      <c r="B13" s="104" t="inlineStr">
        <is>
          <t>Yes</t>
        </is>
      </c>
      <c r="C13" s="104" t="n">
        <v>10</v>
      </c>
      <c r="D13" s="104" t="inlineStr">
        <is>
          <t>Contains</t>
        </is>
      </c>
      <c r="E13" s="104" t="inlineStr">
        <is>
          <t>EXXON</t>
        </is>
      </c>
      <c r="F13" s="104" t="inlineStr">
        <is>
          <t>Transportation</t>
        </is>
      </c>
      <c r="G13" s="104" t="inlineStr">
        <is>
          <t>Gas</t>
        </is>
      </c>
      <c r="H13" s="104" t="inlineStr">
        <is>
          <t>Expense</t>
        </is>
      </c>
      <c r="I13" s="104" t="inlineStr">
        <is>
          <t>No</t>
        </is>
      </c>
      <c r="J13" s="104" t="inlineStr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>
      <c r="A14" s="104" t="inlineStr">
        <is>
          <t>R011</t>
        </is>
      </c>
      <c r="B14" s="104" t="inlineStr">
        <is>
          <t>Yes</t>
        </is>
      </c>
      <c r="C14" s="104" t="n">
        <v>11</v>
      </c>
      <c r="D14" s="104" t="inlineStr">
        <is>
          <t>Contains</t>
        </is>
      </c>
      <c r="E14" s="104" t="inlineStr">
        <is>
          <t>NETFLIX</t>
        </is>
      </c>
      <c r="F14" s="104" t="inlineStr">
        <is>
          <t>Subscriptions</t>
        </is>
      </c>
      <c r="G14" s="104" t="inlineStr">
        <is>
          <t>Streaming</t>
        </is>
      </c>
      <c r="H14" s="104" t="inlineStr">
        <is>
          <t>Expense</t>
        </is>
      </c>
      <c r="I14" s="104" t="inlineStr">
        <is>
          <t>Yes</t>
        </is>
      </c>
      <c r="J14" s="104" t="inlineStr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>
      <c r="A15" s="104" t="inlineStr">
        <is>
          <t>R012</t>
        </is>
      </c>
      <c r="B15" s="104" t="inlineStr">
        <is>
          <t>Yes</t>
        </is>
      </c>
      <c r="C15" s="104" t="n">
        <v>12</v>
      </c>
      <c r="D15" s="104" t="inlineStr">
        <is>
          <t>Contains</t>
        </is>
      </c>
      <c r="E15" s="104" t="inlineStr">
        <is>
          <t>SPOTIFY</t>
        </is>
      </c>
      <c r="F15" s="104" t="inlineStr">
        <is>
          <t>Subscriptions</t>
        </is>
      </c>
      <c r="G15" s="104" t="inlineStr">
        <is>
          <t>Music</t>
        </is>
      </c>
      <c r="H15" s="104" t="inlineStr">
        <is>
          <t>Expense</t>
        </is>
      </c>
      <c r="I15" s="104" t="inlineStr">
        <is>
          <t>Yes</t>
        </is>
      </c>
      <c r="J15" s="104" t="inlineStr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>
      <c r="A16" s="104" t="inlineStr">
        <is>
          <t>R013</t>
        </is>
      </c>
      <c r="B16" s="104" t="inlineStr">
        <is>
          <t>Yes</t>
        </is>
      </c>
      <c r="C16" s="104" t="n">
        <v>13</v>
      </c>
      <c r="D16" s="104" t="inlineStr">
        <is>
          <t>Contains</t>
        </is>
      </c>
      <c r="E16" s="104" t="inlineStr">
        <is>
          <t>APPLE.COM/BILL</t>
        </is>
      </c>
      <c r="F16" s="104" t="inlineStr">
        <is>
          <t>Subscriptions</t>
        </is>
      </c>
      <c r="G16" s="104" t="inlineStr">
        <is>
          <t>Apple</t>
        </is>
      </c>
      <c r="H16" s="104" t="inlineStr">
        <is>
          <t>Expense</t>
        </is>
      </c>
      <c r="I16" s="104" t="inlineStr">
        <is>
          <t>Yes</t>
        </is>
      </c>
      <c r="J16" s="104" t="inlineStr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>
      <c r="A17" s="104" t="inlineStr">
        <is>
          <t>R014</t>
        </is>
      </c>
      <c r="B17" s="104" t="inlineStr">
        <is>
          <t>Yes</t>
        </is>
      </c>
      <c r="C17" s="104" t="n">
        <v>14</v>
      </c>
      <c r="D17" s="104" t="inlineStr">
        <is>
          <t>Contains</t>
        </is>
      </c>
      <c r="E17" s="104" t="inlineStr">
        <is>
          <t>HULU</t>
        </is>
      </c>
      <c r="F17" s="104" t="inlineStr">
        <is>
          <t>Subscriptions</t>
        </is>
      </c>
      <c r="G17" s="104" t="inlineStr">
        <is>
          <t>Streaming</t>
        </is>
      </c>
      <c r="H17" s="104" t="inlineStr">
        <is>
          <t>Expense</t>
        </is>
      </c>
      <c r="I17" s="104" t="inlineStr">
        <is>
          <t>Yes</t>
        </is>
      </c>
      <c r="J17" s="104" t="inlineStr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>
      <c r="A18" s="104" t="inlineStr">
        <is>
          <t>R015</t>
        </is>
      </c>
      <c r="B18" s="104" t="inlineStr">
        <is>
          <t>Yes</t>
        </is>
      </c>
      <c r="C18" s="104" t="n">
        <v>15</v>
      </c>
      <c r="D18" s="104" t="inlineStr">
        <is>
          <t>Contains</t>
        </is>
      </c>
      <c r="E18" s="104" t="inlineStr">
        <is>
          <t>PAYROLL</t>
        </is>
      </c>
      <c r="F18" s="104" t="inlineStr">
        <is>
          <t>Income</t>
        </is>
      </c>
      <c r="G18" s="104" t="inlineStr">
        <is>
          <t>Salary</t>
        </is>
      </c>
      <c r="H18" s="104" t="inlineStr">
        <is>
          <t>Income</t>
        </is>
      </c>
      <c r="I18" s="104" t="inlineStr">
        <is>
          <t>Yes</t>
        </is>
      </c>
      <c r="J18" s="104" t="inlineStr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>
      <c r="A19" s="104" t="inlineStr">
        <is>
          <t>R016</t>
        </is>
      </c>
      <c r="B19" s="104" t="inlineStr">
        <is>
          <t>Yes</t>
        </is>
      </c>
      <c r="C19" s="104" t="n">
        <v>16</v>
      </c>
      <c r="D19" s="104" t="inlineStr">
        <is>
          <t>Contains</t>
        </is>
      </c>
      <c r="E19" s="104" t="inlineStr">
        <is>
          <t>DIRECT DEP</t>
        </is>
      </c>
      <c r="F19" s="104" t="inlineStr">
        <is>
          <t>Income</t>
        </is>
      </c>
      <c r="G19" s="104" t="inlineStr">
        <is>
          <t>Salary</t>
        </is>
      </c>
      <c r="H19" s="104" t="inlineStr">
        <is>
          <t>Income</t>
        </is>
      </c>
      <c r="I19" s="104" t="inlineStr">
        <is>
          <t>Yes</t>
        </is>
      </c>
      <c r="J19" s="104" t="inlineStr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>
      <c r="A20" s="104" t="inlineStr">
        <is>
          <t>R017</t>
        </is>
      </c>
      <c r="B20" s="104" t="inlineStr">
        <is>
          <t>Yes</t>
        </is>
      </c>
      <c r="C20" s="104" t="n">
        <v>17</v>
      </c>
      <c r="D20" s="104" t="inlineStr">
        <is>
          <t>Contains</t>
        </is>
      </c>
      <c r="E20" s="104" t="inlineStr">
        <is>
          <t>RENT</t>
        </is>
      </c>
      <c r="F20" s="104" t="inlineStr">
        <is>
          <t>Housing</t>
        </is>
      </c>
      <c r="G20" s="104" t="inlineStr">
        <is>
          <t>Rent / Mortgage</t>
        </is>
      </c>
      <c r="H20" s="104" t="inlineStr">
        <is>
          <t>Expense</t>
        </is>
      </c>
      <c r="I20" s="104" t="inlineStr">
        <is>
          <t>Yes</t>
        </is>
      </c>
      <c r="J20" s="104" t="inlineStr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</row>
  </sheetData>
  <mergeCells count="1">
    <mergeCell ref="A1:J1"/>
  </mergeCells>
  <dataValidations count="3">
    <dataValidation sqref="B4:B100" showDropDown="0" showInputMessage="0" showErrorMessage="0" allowBlank="0" type="list">
      <formula1>"Yes,No"</formula1>
    </dataValidation>
    <dataValidation sqref="D4:D100" showDropDown="0" showInputMessage="0" showErrorMessage="0" allowBlank="0" type="list">
      <formula1>"Contains"</formula1>
    </dataValidation>
    <dataValidation sqref="I4:I100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36" min="1" max="1"/>
    <col width="14" customWidth="1" style="36" min="2" max="2"/>
    <col width="14" customWidth="1" style="36" min="3" max="3"/>
    <col width="16" customWidth="1" style="36" min="4" max="4"/>
    <col width="14" customWidth="1" style="36" min="5" max="5"/>
    <col width="14" customWidth="1" style="36" min="6" max="6"/>
    <col width="18" customWidth="1" style="36" min="7" max="7"/>
    <col width="24" customWidth="1" style="36" min="8" max="8"/>
  </cols>
  <sheetData>
    <row r="1" ht="28" customHeight="1" s="36">
      <c r="A1" s="29" t="inlineStr">
        <is>
          <t>Monthly Financial Summary</t>
        </is>
      </c>
      <c r="B1" s="41" t="n"/>
      <c r="C1" s="41" t="n"/>
      <c r="D1" s="41" t="n"/>
      <c r="E1" s="41" t="n"/>
      <c r="F1" s="41" t="n"/>
      <c r="G1" s="41" t="n"/>
      <c r="H1" s="41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>
      <c r="A3" s="35" t="inlineStr">
        <is>
          <t>Month</t>
        </is>
      </c>
      <c r="B3" s="35" t="inlineStr">
        <is>
          <t>Income ($)</t>
        </is>
      </c>
      <c r="C3" s="35" t="inlineStr">
        <is>
          <t>Expenses ($)</t>
        </is>
      </c>
      <c r="D3" s="35" t="inlineStr">
        <is>
          <t>Net Cash Flow ($)</t>
        </is>
      </c>
      <c r="E3" s="35" t="inlineStr">
        <is>
          <t>Savings Rate (%)</t>
        </is>
      </c>
      <c r="F3" s="35" t="inlineStr">
        <is>
          <t>Budget ($)</t>
        </is>
      </c>
      <c r="G3" s="35" t="inlineStr">
        <is>
          <t>Budget Variance ($)</t>
        </is>
      </c>
      <c r="H3" s="35" t="inlineStr">
        <is>
          <t>Notes</t>
        </is>
      </c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</row>
    <row r="4">
      <c r="A4" s="84">
        <f>TEXT(EOMONTH(TODAY(),-23),"yyyy-mm")</f>
        <v/>
      </c>
      <c r="B4" s="130">
        <f>SUMIFS(Transactions!$H:$H,Transactions!$I:$I,A4,Transactions!$D:$D,"Income")</f>
        <v/>
      </c>
      <c r="C4" s="130">
        <f>-SUMIFS(Transactions!$H:$H,Transactions!$I:$I,A4,Transactions!$D:$D,"Expense")</f>
        <v/>
      </c>
      <c r="D4" s="130">
        <f>B4-C4</f>
        <v/>
      </c>
      <c r="E4" s="135">
        <f>IFERROR(D4/B4,0)</f>
        <v/>
      </c>
      <c r="F4" s="130">
        <f>SUM(Budget!$C$4:$C$14)</f>
        <v/>
      </c>
      <c r="G4" s="130">
        <f>F4-C4</f>
        <v/>
      </c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</row>
    <row r="5">
      <c r="A5" s="84">
        <f>TEXT(EDATE(DATEVALUE(A4&amp;"-01"),1),"yyyy-mm")</f>
        <v/>
      </c>
      <c r="B5" s="130">
        <f>SUMIFS(Transactions!$H:$H,Transactions!$I:$I,A5,Transactions!$D:$D,"Income")</f>
        <v/>
      </c>
      <c r="C5" s="130">
        <f>-SUMIFS(Transactions!$H:$H,Transactions!$I:$I,A5,Transactions!$D:$D,"Expense")</f>
        <v/>
      </c>
      <c r="D5" s="130">
        <f>B5-C5</f>
        <v/>
      </c>
      <c r="E5" s="135">
        <f>IFERROR(D5/B5,0)</f>
        <v/>
      </c>
      <c r="F5" s="130">
        <f>SUM(Budget!$C$4:$C$14)</f>
        <v/>
      </c>
      <c r="G5" s="130">
        <f>F5-C5</f>
        <v/>
      </c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</row>
    <row r="6">
      <c r="A6" s="84">
        <f>TEXT(EDATE(DATEVALUE(A5&amp;"-01"),1),"yyyy-mm")</f>
        <v/>
      </c>
      <c r="B6" s="130">
        <f>SUMIFS(Transactions!$H:$H,Transactions!$I:$I,A6,Transactions!$D:$D,"Income")</f>
        <v/>
      </c>
      <c r="C6" s="130">
        <f>-SUMIFS(Transactions!$H:$H,Transactions!$I:$I,A6,Transactions!$D:$D,"Expense")</f>
        <v/>
      </c>
      <c r="D6" s="130">
        <f>B6-C6</f>
        <v/>
      </c>
      <c r="E6" s="135">
        <f>IFERROR(D6/B6,0)</f>
        <v/>
      </c>
      <c r="F6" s="130">
        <f>SUM(Budget!$C$4:$C$14)</f>
        <v/>
      </c>
      <c r="G6" s="130">
        <f>F6-C6</f>
        <v/>
      </c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</row>
    <row r="7">
      <c r="A7" s="84">
        <f>TEXT(EDATE(DATEVALUE(A6&amp;"-01"),1),"yyyy-mm")</f>
        <v/>
      </c>
      <c r="B7" s="130">
        <f>SUMIFS(Transactions!$H:$H,Transactions!$I:$I,A7,Transactions!$D:$D,"Income")</f>
        <v/>
      </c>
      <c r="C7" s="130">
        <f>-SUMIFS(Transactions!$H:$H,Transactions!$I:$I,A7,Transactions!$D:$D,"Expense")</f>
        <v/>
      </c>
      <c r="D7" s="130">
        <f>B7-C7</f>
        <v/>
      </c>
      <c r="E7" s="135">
        <f>IFERROR(D7/B7,0)</f>
        <v/>
      </c>
      <c r="F7" s="130">
        <f>SUM(Budget!$C$4:$C$14)</f>
        <v/>
      </c>
      <c r="G7" s="130">
        <f>F7-C7</f>
        <v/>
      </c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</row>
    <row r="8">
      <c r="A8" s="84">
        <f>TEXT(EDATE(DATEVALUE(A7&amp;"-01"),1),"yyyy-mm")</f>
        <v/>
      </c>
      <c r="B8" s="130">
        <f>SUMIFS(Transactions!$H:$H,Transactions!$I:$I,A8,Transactions!$D:$D,"Income")</f>
        <v/>
      </c>
      <c r="C8" s="130">
        <f>-SUMIFS(Transactions!$H:$H,Transactions!$I:$I,A8,Transactions!$D:$D,"Expense")</f>
        <v/>
      </c>
      <c r="D8" s="130">
        <f>B8-C8</f>
        <v/>
      </c>
      <c r="E8" s="135">
        <f>IFERROR(D8/B8,0)</f>
        <v/>
      </c>
      <c r="F8" s="130">
        <f>SUM(Budget!$C$4:$C$14)</f>
        <v/>
      </c>
      <c r="G8" s="130">
        <f>F8-C8</f>
        <v/>
      </c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>
      <c r="A9" s="84">
        <f>TEXT(EDATE(DATEVALUE(A8&amp;"-01"),1),"yyyy-mm")</f>
        <v/>
      </c>
      <c r="B9" s="130">
        <f>SUMIFS(Transactions!$H:$H,Transactions!$I:$I,A9,Transactions!$D:$D,"Income")</f>
        <v/>
      </c>
      <c r="C9" s="130">
        <f>-SUMIFS(Transactions!$H:$H,Transactions!$I:$I,A9,Transactions!$D:$D,"Expense")</f>
        <v/>
      </c>
      <c r="D9" s="130">
        <f>B9-C9</f>
        <v/>
      </c>
      <c r="E9" s="135">
        <f>IFERROR(D9/B9,0)</f>
        <v/>
      </c>
      <c r="F9" s="130">
        <f>SUM(Budget!$C$4:$C$14)</f>
        <v/>
      </c>
      <c r="G9" s="130">
        <f>F9-C9</f>
        <v/>
      </c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>
      <c r="A10" s="84">
        <f>TEXT(EDATE(DATEVALUE(A9&amp;"-01"),1),"yyyy-mm")</f>
        <v/>
      </c>
      <c r="B10" s="130">
        <f>SUMIFS(Transactions!$H:$H,Transactions!$I:$I,A10,Transactions!$D:$D,"Income")</f>
        <v/>
      </c>
      <c r="C10" s="130">
        <f>-SUMIFS(Transactions!$H:$H,Transactions!$I:$I,A10,Transactions!$D:$D,"Expense")</f>
        <v/>
      </c>
      <c r="D10" s="130">
        <f>B10-C10</f>
        <v/>
      </c>
      <c r="E10" s="135">
        <f>IFERROR(D10/B10,0)</f>
        <v/>
      </c>
      <c r="F10" s="130">
        <f>SUM(Budget!$C$4:$C$14)</f>
        <v/>
      </c>
      <c r="G10" s="130">
        <f>F10-C10</f>
        <v/>
      </c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>
      <c r="A11" s="84">
        <f>TEXT(EDATE(DATEVALUE(A10&amp;"-01"),1),"yyyy-mm")</f>
        <v/>
      </c>
      <c r="B11" s="130">
        <f>SUMIFS(Transactions!$H:$H,Transactions!$I:$I,A11,Transactions!$D:$D,"Income")</f>
        <v/>
      </c>
      <c r="C11" s="130">
        <f>-SUMIFS(Transactions!$H:$H,Transactions!$I:$I,A11,Transactions!$D:$D,"Expense")</f>
        <v/>
      </c>
      <c r="D11" s="130">
        <f>B11-C11</f>
        <v/>
      </c>
      <c r="E11" s="135">
        <f>IFERROR(D11/B11,0)</f>
        <v/>
      </c>
      <c r="F11" s="130">
        <f>SUM(Budget!$C$4:$C$14)</f>
        <v/>
      </c>
      <c r="G11" s="130">
        <f>F11-C11</f>
        <v/>
      </c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>
      <c r="A12" s="84">
        <f>TEXT(EDATE(DATEVALUE(A11&amp;"-01"),1),"yyyy-mm")</f>
        <v/>
      </c>
      <c r="B12" s="130">
        <f>SUMIFS(Transactions!$H:$H,Transactions!$I:$I,A12,Transactions!$D:$D,"Income")</f>
        <v/>
      </c>
      <c r="C12" s="130">
        <f>-SUMIFS(Transactions!$H:$H,Transactions!$I:$I,A12,Transactions!$D:$D,"Expense")</f>
        <v/>
      </c>
      <c r="D12" s="130">
        <f>B12-C12</f>
        <v/>
      </c>
      <c r="E12" s="135">
        <f>IFERROR(D12/B12,0)</f>
        <v/>
      </c>
      <c r="F12" s="130">
        <f>SUM(Budget!$C$4:$C$14)</f>
        <v/>
      </c>
      <c r="G12" s="130">
        <f>F12-C12</f>
        <v/>
      </c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>
      <c r="A13" s="84">
        <f>TEXT(EDATE(DATEVALUE(A12&amp;"-01"),1),"yyyy-mm")</f>
        <v/>
      </c>
      <c r="B13" s="130">
        <f>SUMIFS(Transactions!$H:$H,Transactions!$I:$I,A13,Transactions!$D:$D,"Income")</f>
        <v/>
      </c>
      <c r="C13" s="130">
        <f>-SUMIFS(Transactions!$H:$H,Transactions!$I:$I,A13,Transactions!$D:$D,"Expense")</f>
        <v/>
      </c>
      <c r="D13" s="130">
        <f>B13-C13</f>
        <v/>
      </c>
      <c r="E13" s="135">
        <f>IFERROR(D13/B13,0)</f>
        <v/>
      </c>
      <c r="F13" s="130">
        <f>SUM(Budget!$C$4:$C$14)</f>
        <v/>
      </c>
      <c r="G13" s="130">
        <f>F13-C13</f>
        <v/>
      </c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>
      <c r="A14" s="84">
        <f>TEXT(EDATE(DATEVALUE(A13&amp;"-01"),1),"yyyy-mm")</f>
        <v/>
      </c>
      <c r="B14" s="130">
        <f>SUMIFS(Transactions!$H:$H,Transactions!$I:$I,A14,Transactions!$D:$D,"Income")</f>
        <v/>
      </c>
      <c r="C14" s="130">
        <f>-SUMIFS(Transactions!$H:$H,Transactions!$I:$I,A14,Transactions!$D:$D,"Expense")</f>
        <v/>
      </c>
      <c r="D14" s="130">
        <f>B14-C14</f>
        <v/>
      </c>
      <c r="E14" s="135">
        <f>IFERROR(D14/B14,0)</f>
        <v/>
      </c>
      <c r="F14" s="130">
        <f>SUM(Budget!$C$4:$C$14)</f>
        <v/>
      </c>
      <c r="G14" s="130">
        <f>F14-C14</f>
        <v/>
      </c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>
      <c r="A15" s="84">
        <f>TEXT(EDATE(DATEVALUE(A14&amp;"-01"),1),"yyyy-mm")</f>
        <v/>
      </c>
      <c r="B15" s="130">
        <f>SUMIFS(Transactions!$H:$H,Transactions!$I:$I,A15,Transactions!$D:$D,"Income")</f>
        <v/>
      </c>
      <c r="C15" s="130">
        <f>-SUMIFS(Transactions!$H:$H,Transactions!$I:$I,A15,Transactions!$D:$D,"Expense")</f>
        <v/>
      </c>
      <c r="D15" s="130">
        <f>B15-C15</f>
        <v/>
      </c>
      <c r="E15" s="135">
        <f>IFERROR(D15/B15,0)</f>
        <v/>
      </c>
      <c r="F15" s="130">
        <f>SUM(Budget!$C$4:$C$14)</f>
        <v/>
      </c>
      <c r="G15" s="130">
        <f>F15-C15</f>
        <v/>
      </c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>
      <c r="A16" s="84">
        <f>TEXT(EDATE(DATEVALUE(A15&amp;"-01"),1),"yyyy-mm")</f>
        <v/>
      </c>
      <c r="B16" s="130">
        <f>SUMIFS(Transactions!$H:$H,Transactions!$I:$I,A16,Transactions!$D:$D,"Income")</f>
        <v/>
      </c>
      <c r="C16" s="130">
        <f>-SUMIFS(Transactions!$H:$H,Transactions!$I:$I,A16,Transactions!$D:$D,"Expense")</f>
        <v/>
      </c>
      <c r="D16" s="130">
        <f>B16-C16</f>
        <v/>
      </c>
      <c r="E16" s="135">
        <f>IFERROR(D16/B16,0)</f>
        <v/>
      </c>
      <c r="F16" s="130">
        <f>SUM(Budget!$C$4:$C$14)</f>
        <v/>
      </c>
      <c r="G16" s="130">
        <f>F16-C16</f>
        <v/>
      </c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>
      <c r="A17" s="84">
        <f>TEXT(EDATE(DATEVALUE(A16&amp;"-01"),1),"yyyy-mm")</f>
        <v/>
      </c>
      <c r="B17" s="130">
        <f>SUMIFS(Transactions!$H:$H,Transactions!$I:$I,A17,Transactions!$D:$D,"Income")</f>
        <v/>
      </c>
      <c r="C17" s="130">
        <f>-SUMIFS(Transactions!$H:$H,Transactions!$I:$I,A17,Transactions!$D:$D,"Expense")</f>
        <v/>
      </c>
      <c r="D17" s="130">
        <f>B17-C17</f>
        <v/>
      </c>
      <c r="E17" s="135">
        <f>IFERROR(D17/B17,0)</f>
        <v/>
      </c>
      <c r="F17" s="130">
        <f>SUM(Budget!$C$4:$C$14)</f>
        <v/>
      </c>
      <c r="G17" s="130">
        <f>F17-C17</f>
        <v/>
      </c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>
      <c r="A18" s="84">
        <f>TEXT(EDATE(DATEVALUE(A17&amp;"-01"),1),"yyyy-mm")</f>
        <v/>
      </c>
      <c r="B18" s="130">
        <f>SUMIFS(Transactions!$H:$H,Transactions!$I:$I,A18,Transactions!$D:$D,"Income")</f>
        <v/>
      </c>
      <c r="C18" s="130">
        <f>-SUMIFS(Transactions!$H:$H,Transactions!$I:$I,A18,Transactions!$D:$D,"Expense")</f>
        <v/>
      </c>
      <c r="D18" s="130">
        <f>B18-C18</f>
        <v/>
      </c>
      <c r="E18" s="135">
        <f>IFERROR(D18/B18,0)</f>
        <v/>
      </c>
      <c r="F18" s="130">
        <f>SUM(Budget!$C$4:$C$14)</f>
        <v/>
      </c>
      <c r="G18" s="130">
        <f>F18-C18</f>
        <v/>
      </c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>
      <c r="A19" s="84">
        <f>TEXT(EDATE(DATEVALUE(A18&amp;"-01"),1),"yyyy-mm")</f>
        <v/>
      </c>
      <c r="B19" s="130">
        <f>SUMIFS(Transactions!$H:$H,Transactions!$I:$I,A19,Transactions!$D:$D,"Income")</f>
        <v/>
      </c>
      <c r="C19" s="130">
        <f>-SUMIFS(Transactions!$H:$H,Transactions!$I:$I,A19,Transactions!$D:$D,"Expense")</f>
        <v/>
      </c>
      <c r="D19" s="130">
        <f>B19-C19</f>
        <v/>
      </c>
      <c r="E19" s="135">
        <f>IFERROR(D19/B19,0)</f>
        <v/>
      </c>
      <c r="F19" s="130">
        <f>SUM(Budget!$C$4:$C$14)</f>
        <v/>
      </c>
      <c r="G19" s="130">
        <f>F19-C19</f>
        <v/>
      </c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>
      <c r="A20" s="84">
        <f>TEXT(EDATE(DATEVALUE(A19&amp;"-01"),1),"yyyy-mm")</f>
        <v/>
      </c>
      <c r="B20" s="130">
        <f>SUMIFS(Transactions!$H:$H,Transactions!$I:$I,A20,Transactions!$D:$D,"Income")</f>
        <v/>
      </c>
      <c r="C20" s="130">
        <f>-SUMIFS(Transactions!$H:$H,Transactions!$I:$I,A20,Transactions!$D:$D,"Expense")</f>
        <v/>
      </c>
      <c r="D20" s="130">
        <f>B20-C20</f>
        <v/>
      </c>
      <c r="E20" s="135">
        <f>IFERROR(D20/B20,0)</f>
        <v/>
      </c>
      <c r="F20" s="130">
        <f>SUM(Budget!$C$4:$C$14)</f>
        <v/>
      </c>
      <c r="G20" s="130">
        <f>F20-C20</f>
        <v/>
      </c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>
      <c r="A21" s="84">
        <f>TEXT(EDATE(DATEVALUE(A20&amp;"-01"),1),"yyyy-mm")</f>
        <v/>
      </c>
      <c r="B21" s="130">
        <f>SUMIFS(Transactions!$H:$H,Transactions!$I:$I,A21,Transactions!$D:$D,"Income")</f>
        <v/>
      </c>
      <c r="C21" s="130">
        <f>-SUMIFS(Transactions!$H:$H,Transactions!$I:$I,A21,Transactions!$D:$D,"Expense")</f>
        <v/>
      </c>
      <c r="D21" s="130">
        <f>B21-C21</f>
        <v/>
      </c>
      <c r="E21" s="135">
        <f>IFERROR(D21/B21,0)</f>
        <v/>
      </c>
      <c r="F21" s="130">
        <f>SUM(Budget!$C$4:$C$14)</f>
        <v/>
      </c>
      <c r="G21" s="130">
        <f>F21-C21</f>
        <v/>
      </c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>
      <c r="A22" s="84">
        <f>TEXT(EDATE(DATEVALUE(A21&amp;"-01"),1),"yyyy-mm")</f>
        <v/>
      </c>
      <c r="B22" s="130">
        <f>SUMIFS(Transactions!$H:$H,Transactions!$I:$I,A22,Transactions!$D:$D,"Income")</f>
        <v/>
      </c>
      <c r="C22" s="130">
        <f>-SUMIFS(Transactions!$H:$H,Transactions!$I:$I,A22,Transactions!$D:$D,"Expense")</f>
        <v/>
      </c>
      <c r="D22" s="130">
        <f>B22-C22</f>
        <v/>
      </c>
      <c r="E22" s="135">
        <f>IFERROR(D22/B22,0)</f>
        <v/>
      </c>
      <c r="F22" s="130">
        <f>SUM(Budget!$C$4:$C$14)</f>
        <v/>
      </c>
      <c r="G22" s="130">
        <f>F22-C22</f>
        <v/>
      </c>
      <c r="H22" s="84" t="n"/>
      <c r="I22" s="84" t="n"/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>
      <c r="A23" s="84">
        <f>TEXT(EDATE(DATEVALUE(A22&amp;"-01"),1),"yyyy-mm")</f>
        <v/>
      </c>
      <c r="B23" s="130">
        <f>SUMIFS(Transactions!$H:$H,Transactions!$I:$I,A23,Transactions!$D:$D,"Income")</f>
        <v/>
      </c>
      <c r="C23" s="130">
        <f>-SUMIFS(Transactions!$H:$H,Transactions!$I:$I,A23,Transactions!$D:$D,"Expense")</f>
        <v/>
      </c>
      <c r="D23" s="130">
        <f>B23-C23</f>
        <v/>
      </c>
      <c r="E23" s="135">
        <f>IFERROR(D23/B23,0)</f>
        <v/>
      </c>
      <c r="F23" s="130">
        <f>SUM(Budget!$C$4:$C$14)</f>
        <v/>
      </c>
      <c r="G23" s="130">
        <f>F23-C23</f>
        <v/>
      </c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>
      <c r="A24" s="84">
        <f>TEXT(EDATE(DATEVALUE(A23&amp;"-01"),1),"yyyy-mm")</f>
        <v/>
      </c>
      <c r="B24" s="130">
        <f>SUMIFS(Transactions!$H:$H,Transactions!$I:$I,A24,Transactions!$D:$D,"Income")</f>
        <v/>
      </c>
      <c r="C24" s="130">
        <f>-SUMIFS(Transactions!$H:$H,Transactions!$I:$I,A24,Transactions!$D:$D,"Expense")</f>
        <v/>
      </c>
      <c r="D24" s="130">
        <f>B24-C24</f>
        <v/>
      </c>
      <c r="E24" s="135">
        <f>IFERROR(D24/B24,0)</f>
        <v/>
      </c>
      <c r="F24" s="130">
        <f>SUM(Budget!$C$4:$C$14)</f>
        <v/>
      </c>
      <c r="G24" s="130">
        <f>F24-C24</f>
        <v/>
      </c>
      <c r="H24" s="84" t="n"/>
      <c r="I24" s="84" t="n"/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>
      <c r="A25" s="84">
        <f>TEXT(EDATE(DATEVALUE(A24&amp;"-01"),1),"yyyy-mm")</f>
        <v/>
      </c>
      <c r="B25" s="130">
        <f>SUMIFS(Transactions!$H:$H,Transactions!$I:$I,A25,Transactions!$D:$D,"Income")</f>
        <v/>
      </c>
      <c r="C25" s="130">
        <f>-SUMIFS(Transactions!$H:$H,Transactions!$I:$I,A25,Transactions!$D:$D,"Expense")</f>
        <v/>
      </c>
      <c r="D25" s="130">
        <f>B25-C25</f>
        <v/>
      </c>
      <c r="E25" s="135">
        <f>IFERROR(D25/B25,0)</f>
        <v/>
      </c>
      <c r="F25" s="130">
        <f>SUM(Budget!$C$4:$C$14)</f>
        <v/>
      </c>
      <c r="G25" s="130">
        <f>F25-C25</f>
        <v/>
      </c>
      <c r="H25" s="84" t="n"/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>
      <c r="A26" s="84">
        <f>TEXT(EDATE(DATEVALUE(A25&amp;"-01"),1),"yyyy-mm")</f>
        <v/>
      </c>
      <c r="B26" s="130">
        <f>SUMIFS(Transactions!$H:$H,Transactions!$I:$I,A26,Transactions!$D:$D,"Income")</f>
        <v/>
      </c>
      <c r="C26" s="130">
        <f>-SUMIFS(Transactions!$H:$H,Transactions!$I:$I,A26,Transactions!$D:$D,"Expense")</f>
        <v/>
      </c>
      <c r="D26" s="130">
        <f>B26-C26</f>
        <v/>
      </c>
      <c r="E26" s="135">
        <f>IFERROR(D26/B26,0)</f>
        <v/>
      </c>
      <c r="F26" s="130">
        <f>SUM(Budget!$C$4:$C$14)</f>
        <v/>
      </c>
      <c r="G26" s="130">
        <f>F26-C26</f>
        <v/>
      </c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>
      <c r="A27" s="84">
        <f>TEXT(EDATE(DATEVALUE(A26&amp;"-01"),1),"yyyy-mm")</f>
        <v/>
      </c>
      <c r="B27" s="130">
        <f>SUMIFS(Transactions!$H:$H,Transactions!$I:$I,A27,Transactions!$D:$D,"Income")</f>
        <v/>
      </c>
      <c r="C27" s="130">
        <f>-SUMIFS(Transactions!$H:$H,Transactions!$I:$I,A27,Transactions!$D:$D,"Expense")</f>
        <v/>
      </c>
      <c r="D27" s="130">
        <f>B27-C27</f>
        <v/>
      </c>
      <c r="E27" s="135">
        <f>IFERROR(D27/B27,0)</f>
        <v/>
      </c>
      <c r="F27" s="130">
        <f>SUM(Budget!$C$4:$C$14)</f>
        <v/>
      </c>
      <c r="G27" s="130">
        <f>F27-C27</f>
        <v/>
      </c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36" min="1" max="1"/>
    <col width="24" customWidth="1" style="36" min="2" max="2"/>
    <col width="14" customWidth="1" style="36" min="3" max="3"/>
    <col width="34" customWidth="1" style="36" min="4" max="4"/>
    <col width="24" customWidth="1" style="36" min="5" max="5"/>
    <col width="20" customWidth="1" style="36" min="6" max="6"/>
    <col width="12" customWidth="1" style="36" min="7" max="7"/>
  </cols>
  <sheetData>
    <row r="1" ht="28" customHeight="1" s="36">
      <c r="A1" s="29" t="inlineStr">
        <is>
          <t>Data Dictionary &amp; Integration Contract</t>
        </is>
      </c>
      <c r="B1" s="41" t="n"/>
      <c r="C1" s="41" t="n"/>
      <c r="D1" s="41" t="n"/>
      <c r="E1" s="41" t="n"/>
      <c r="F1" s="41" t="n"/>
      <c r="G1" s="41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>
      <c r="A3" s="35" t="inlineStr">
        <is>
          <t>Field</t>
        </is>
      </c>
      <c r="B3" s="35" t="inlineStr">
        <is>
          <t>Layer</t>
        </is>
      </c>
      <c r="C3" s="35" t="inlineStr">
        <is>
          <t>Type</t>
        </is>
      </c>
      <c r="D3" s="35" t="inlineStr">
        <is>
          <t>Purpose</t>
        </is>
      </c>
      <c r="E3" s="35" t="inlineStr">
        <is>
          <t>Example</t>
        </is>
      </c>
      <c r="F3" s="35" t="inlineStr">
        <is>
          <t>Source</t>
        </is>
      </c>
      <c r="G3" s="35" t="inlineStr">
        <is>
          <t>Required?</t>
        </is>
      </c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</row>
    <row r="4">
      <c r="A4" s="84" t="inlineStr">
        <is>
          <t>Account ID</t>
        </is>
      </c>
      <c r="B4" s="84" t="inlineStr">
        <is>
          <t>Accounts / Transactions</t>
        </is>
      </c>
      <c r="C4" s="84" t="inlineStr">
        <is>
          <t>Text</t>
        </is>
      </c>
      <c r="D4" s="84" t="inlineStr">
        <is>
          <t>Internal account key</t>
        </is>
      </c>
      <c r="E4" s="84" t="inlineStr">
        <is>
          <t>A001</t>
        </is>
      </c>
      <c r="F4" s="84" t="inlineStr">
        <is>
          <t>Internal</t>
        </is>
      </c>
      <c r="G4" s="84" t="inlineStr">
        <is>
          <t>Yes</t>
        </is>
      </c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</row>
    <row r="5">
      <c r="A5" s="84" t="inlineStr">
        <is>
          <t>Transaction ID</t>
        </is>
      </c>
      <c r="B5" s="84" t="inlineStr">
        <is>
          <t>Raw Import / Transactions</t>
        </is>
      </c>
      <c r="C5" s="84" t="inlineStr">
        <is>
          <t>Text</t>
        </is>
      </c>
      <c r="D5" s="84" t="inlineStr">
        <is>
          <t>Provider unique transaction identifier</t>
        </is>
      </c>
      <c r="E5" s="84" t="inlineStr">
        <is>
          <t>tx_123</t>
        </is>
      </c>
      <c r="F5" s="84" t="inlineStr">
        <is>
          <t>Bank/API</t>
        </is>
      </c>
      <c r="G5" s="84" t="inlineStr">
        <is>
          <t>Yes</t>
        </is>
      </c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</row>
    <row r="6">
      <c r="A6" s="84" t="inlineStr">
        <is>
          <t>Date</t>
        </is>
      </c>
      <c r="B6" s="84" t="inlineStr">
        <is>
          <t>Transactions</t>
        </is>
      </c>
      <c r="C6" s="84" t="inlineStr">
        <is>
          <t>Date</t>
        </is>
      </c>
      <c r="D6" s="84" t="inlineStr">
        <is>
          <t>Posting/transaction date</t>
        </is>
      </c>
      <c r="E6" s="84" t="inlineStr">
        <is>
          <t>08/19/2026</t>
        </is>
      </c>
      <c r="F6" s="84" t="inlineStr">
        <is>
          <t>Bank/API</t>
        </is>
      </c>
      <c r="G6" s="84" t="inlineStr">
        <is>
          <t>Yes</t>
        </is>
      </c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</row>
    <row r="7">
      <c r="A7" s="84" t="inlineStr">
        <is>
          <t>Merchant</t>
        </is>
      </c>
      <c r="B7" s="84" t="inlineStr">
        <is>
          <t>Transactions</t>
        </is>
      </c>
      <c r="C7" s="84" t="inlineStr">
        <is>
          <t>Text</t>
        </is>
      </c>
      <c r="D7" s="84" t="inlineStr">
        <is>
          <t>Normalized merchant name</t>
        </is>
      </c>
      <c r="E7" s="84" t="inlineStr">
        <is>
          <t>Wawa</t>
        </is>
      </c>
      <c r="F7" s="84" t="inlineStr">
        <is>
          <t>Bank/API + rules</t>
        </is>
      </c>
      <c r="G7" s="84" t="inlineStr">
        <is>
          <t>No</t>
        </is>
      </c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</row>
    <row r="8">
      <c r="A8" s="84" t="inlineStr">
        <is>
          <t>Signed Amount ($)</t>
        </is>
      </c>
      <c r="B8" s="84" t="inlineStr">
        <is>
          <t>Transactions</t>
        </is>
      </c>
      <c r="C8" s="84" t="inlineStr">
        <is>
          <t>Number</t>
        </is>
      </c>
      <c r="D8" s="84" t="inlineStr">
        <is>
          <t>Income positive; expenses negative</t>
        </is>
      </c>
      <c r="E8" s="84" t="inlineStr">
        <is>
          <t>-18.42</t>
        </is>
      </c>
      <c r="F8" s="84" t="inlineStr">
        <is>
          <t>Bank/API</t>
        </is>
      </c>
      <c r="G8" s="84" t="inlineStr">
        <is>
          <t>Yes</t>
        </is>
      </c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>
      <c r="A9" s="84" t="inlineStr">
        <is>
          <t>Type</t>
        </is>
      </c>
      <c r="B9" s="84" t="inlineStr">
        <is>
          <t>Transactions</t>
        </is>
      </c>
      <c r="C9" s="84" t="inlineStr">
        <is>
          <t>Enum</t>
        </is>
      </c>
      <c r="D9" s="84" t="inlineStr">
        <is>
          <t>Income / Expense / Transfer / Investment</t>
        </is>
      </c>
      <c r="E9" s="84" t="inlineStr">
        <is>
          <t>Expense</t>
        </is>
      </c>
      <c r="F9" s="84" t="inlineStr">
        <is>
          <t>Rules</t>
        </is>
      </c>
      <c r="G9" s="84" t="inlineStr">
        <is>
          <t>Yes</t>
        </is>
      </c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>
      <c r="A10" s="84" t="inlineStr">
        <is>
          <t>Category</t>
        </is>
      </c>
      <c r="B10" s="84" t="inlineStr">
        <is>
          <t>Transactions</t>
        </is>
      </c>
      <c r="C10" s="84" t="inlineStr">
        <is>
          <t>Enum</t>
        </is>
      </c>
      <c r="D10" s="84" t="inlineStr">
        <is>
          <t>Top-level budget category</t>
        </is>
      </c>
      <c r="E10" s="84" t="inlineStr">
        <is>
          <t>Food</t>
        </is>
      </c>
      <c r="F10" s="84" t="inlineStr">
        <is>
          <t>Rules</t>
        </is>
      </c>
      <c r="G10" s="84" t="inlineStr">
        <is>
          <t>Yes</t>
        </is>
      </c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>
      <c r="A11" s="84" t="inlineStr">
        <is>
          <t>Subcategory</t>
        </is>
      </c>
      <c r="B11" s="84" t="inlineStr">
        <is>
          <t>Transactions</t>
        </is>
      </c>
      <c r="C11" s="84" t="inlineStr">
        <is>
          <t>Text</t>
        </is>
      </c>
      <c r="D11" s="84" t="inlineStr">
        <is>
          <t>Detailed classification</t>
        </is>
      </c>
      <c r="E11" s="84" t="inlineStr">
        <is>
          <t>Dining Out</t>
        </is>
      </c>
      <c r="F11" s="84" t="inlineStr">
        <is>
          <t>Rules</t>
        </is>
      </c>
      <c r="G11" s="84" t="inlineStr">
        <is>
          <t>Yes</t>
        </is>
      </c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>
      <c r="A12" s="84" t="inlineStr">
        <is>
          <t>Review Status</t>
        </is>
      </c>
      <c r="B12" s="84" t="inlineStr">
        <is>
          <t>Transactions</t>
        </is>
      </c>
      <c r="C12" s="84" t="inlineStr">
        <is>
          <t>Enum</t>
        </is>
      </c>
      <c r="D12" s="84" t="inlineStr">
        <is>
          <t>OK / Review</t>
        </is>
      </c>
      <c r="E12" s="84" t="inlineStr">
        <is>
          <t>Review</t>
        </is>
      </c>
      <c r="F12" s="84" t="inlineStr">
        <is>
          <t>Rules</t>
        </is>
      </c>
      <c r="G12" s="84" t="inlineStr">
        <is>
          <t>Yes</t>
        </is>
      </c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>
      <c r="A13" s="84" t="n"/>
      <c r="B13" s="84" t="n"/>
      <c r="C13" s="84" t="n"/>
      <c r="D13" s="84" t="n"/>
      <c r="E13" s="84" t="n"/>
      <c r="F13" s="84" t="n"/>
      <c r="G13" s="84" t="n"/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>
      <c r="A15" s="84" t="n"/>
      <c r="B15" s="84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36" min="1" max="1"/>
    <col width="28" customWidth="1" style="36" min="2" max="2"/>
    <col width="44" customWidth="1" style="36" min="3" max="3"/>
  </cols>
  <sheetData>
    <row r="1" ht="28" customHeight="1" s="36">
      <c r="A1" s="29" t="inlineStr">
        <is>
          <t>Model Settings &amp; Security</t>
        </is>
      </c>
      <c r="B1" s="41" t="n"/>
      <c r="C1" s="41" t="n"/>
      <c r="D1" s="41" t="n"/>
      <c r="E1" s="41" t="n"/>
      <c r="F1" s="41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</row>
    <row r="3">
      <c r="A3" s="35" t="inlineStr">
        <is>
          <t>Setting</t>
        </is>
      </c>
      <c r="B3" s="35" t="inlineStr">
        <is>
          <t>Value</t>
        </is>
      </c>
      <c r="C3" s="35" t="inlineStr">
        <is>
          <t>Purpose</t>
        </is>
      </c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</row>
    <row r="4">
      <c r="A4" s="84" t="inlineStr">
        <is>
          <t>Base Currency</t>
        </is>
      </c>
      <c r="B4" s="104" t="inlineStr">
        <is>
          <t>USD</t>
        </is>
      </c>
      <c r="C4" s="84" t="inlineStr">
        <is>
          <t>Reporting currency</t>
        </is>
      </c>
      <c r="D4" s="84" t="n"/>
      <c r="E4" s="84" t="n"/>
      <c r="F4" s="84" t="n"/>
      <c r="G4" s="84" t="n"/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</row>
    <row r="5">
      <c r="A5" s="84" t="inlineStr">
        <is>
          <t>Review Uncategorized</t>
        </is>
      </c>
      <c r="B5" s="104" t="inlineStr">
        <is>
          <t>Yes</t>
        </is>
      </c>
      <c r="C5" s="84" t="inlineStr">
        <is>
          <t>Flag transactions with no matching rule</t>
        </is>
      </c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</row>
    <row r="6">
      <c r="A6" s="84" t="inlineStr">
        <is>
          <t>Exclude Pending</t>
        </is>
      </c>
      <c r="B6" s="104" t="inlineStr">
        <is>
          <t>Yes</t>
        </is>
      </c>
      <c r="C6" s="84" t="inlineStr">
        <is>
          <t>Recommended for finalized reporting</t>
        </is>
      </c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</row>
    <row r="7">
      <c r="A7" s="84" t="inlineStr">
        <is>
          <t>Duplicate Key</t>
        </is>
      </c>
      <c r="B7" s="104" t="inlineStr">
        <is>
          <t>Transaction ID + Fingerprint</t>
        </is>
      </c>
      <c r="C7" s="84" t="inlineStr">
        <is>
          <t>Prevent duplicate imports</t>
        </is>
      </c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</row>
    <row r="8">
      <c r="A8" s="84" t="inlineStr">
        <is>
          <t>Import Frequency</t>
        </is>
      </c>
      <c r="B8" s="104" t="inlineStr">
        <is>
          <t>Daily</t>
        </is>
      </c>
      <c r="C8" s="84" t="inlineStr">
        <is>
          <t>Recommended automation cadence</t>
        </is>
      </c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>
      <c r="A11" s="95" t="inlineStr">
        <is>
          <t>SECURITY — Keep bank credentials, MFA codes, API secrets, access tokens, SSNs and full account numbers outside the workbook.</t>
        </is>
      </c>
      <c r="B11" s="41" t="n"/>
      <c r="C11" s="41" t="n"/>
      <c r="D11" s="41" t="n"/>
      <c r="E11" s="41" t="n"/>
      <c r="F11" s="41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>
      <c r="A13" s="84" t="n"/>
      <c r="B13" s="84" t="n"/>
      <c r="C13" s="84" t="n"/>
      <c r="D13" s="84" t="n"/>
      <c r="E13" s="84" t="n"/>
      <c r="F13" s="84" t="n"/>
      <c r="G13" s="84" t="n"/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>
      <c r="A15" s="84" t="n"/>
      <c r="B15" s="84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</row>
  </sheetData>
  <mergeCells count="2">
    <mergeCell ref="A11:F1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2026-08-20T01:31:04Z</dcterms:created>
  <dcterms:modified xmlns:dcterms="http://purl.org/dc/terms/" xmlns:xsi="http://www.w3.org/2001/XMLSchema-instance" xsi:type="dcterms:W3CDTF">2026-08-20T01:31:04Z</dcterms:modified>
</cp:coreProperties>
</file>